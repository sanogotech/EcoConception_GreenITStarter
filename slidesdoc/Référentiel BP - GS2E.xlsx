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Resilio/Nextcloud/Drive_Partagé/50-59 Consulting/52 Ecoconception/52.18 GS2E/"/>
    </mc:Choice>
  </mc:AlternateContent>
  <xr:revisionPtr revIDLastSave="0" documentId="8_{667173CD-A761-B44C-BAF9-99E9C1FA8FA9}" xr6:coauthVersionLast="47" xr6:coauthVersionMax="47" xr10:uidLastSave="{00000000-0000-0000-0000-000000000000}"/>
  <bookViews>
    <workbookView xWindow="700" yWindow="500" windowWidth="27680" windowHeight="15820" tabRatio="500" xr2:uid="{00000000-000D-0000-FFFF-FFFF00000000}"/>
  </bookViews>
  <sheets>
    <sheet name="grille de notation" sheetId="1" r:id="rId1"/>
  </sheets>
  <definedNames>
    <definedName name="_xlnm._FilterDatabase" localSheetId="0" hidden="1">'grille de notation'!$A$1:$L$119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0" i="1" l="1"/>
  <c r="K99" i="1"/>
  <c r="K98" i="1"/>
  <c r="K97" i="1"/>
  <c r="K96" i="1"/>
  <c r="K59" i="1"/>
  <c r="K77" i="1"/>
  <c r="K83" i="1"/>
  <c r="K18" i="1"/>
  <c r="K31" i="1"/>
  <c r="K82" i="1"/>
  <c r="K19" i="1"/>
  <c r="K20" i="1"/>
  <c r="K2" i="1"/>
  <c r="K86" i="1" s="1"/>
  <c r="K3" i="1"/>
  <c r="K32" i="1"/>
  <c r="K33" i="1"/>
  <c r="K4" i="1"/>
  <c r="K5" i="1"/>
  <c r="K6" i="1"/>
  <c r="K7" i="1"/>
  <c r="K8" i="1"/>
  <c r="K9" i="1"/>
  <c r="K10" i="1"/>
  <c r="K11" i="1"/>
  <c r="K12" i="1"/>
  <c r="K21" i="1"/>
  <c r="K34" i="1"/>
  <c r="K35" i="1"/>
  <c r="K36" i="1"/>
  <c r="K78" i="1"/>
  <c r="K47" i="1"/>
  <c r="K22" i="1"/>
  <c r="K13" i="1"/>
  <c r="K23" i="1"/>
  <c r="K37" i="1"/>
  <c r="K38" i="1"/>
  <c r="K24" i="1"/>
  <c r="K48" i="1"/>
  <c r="K25" i="1"/>
  <c r="K26" i="1"/>
  <c r="K27" i="1"/>
  <c r="K28" i="1"/>
  <c r="K39" i="1"/>
  <c r="K14" i="1"/>
  <c r="K49" i="1"/>
  <c r="K60" i="1"/>
  <c r="K40" i="1"/>
  <c r="K41" i="1"/>
  <c r="K50" i="1"/>
  <c r="K42" i="1"/>
  <c r="K15" i="1"/>
  <c r="K29" i="1"/>
  <c r="K51" i="1"/>
  <c r="K61" i="1"/>
  <c r="K62" i="1"/>
  <c r="K43" i="1"/>
  <c r="K44" i="1"/>
  <c r="K45" i="1"/>
  <c r="K63" i="1"/>
  <c r="K16" i="1"/>
  <c r="K64" i="1"/>
  <c r="K52" i="1"/>
  <c r="K53" i="1"/>
  <c r="K54" i="1"/>
  <c r="K55" i="1"/>
  <c r="K17" i="1"/>
  <c r="K65" i="1"/>
  <c r="K66" i="1"/>
  <c r="K56" i="1"/>
  <c r="K70" i="1"/>
  <c r="K30" i="1"/>
  <c r="K67" i="1"/>
  <c r="K68" i="1"/>
  <c r="K71" i="1"/>
  <c r="K58" i="1"/>
  <c r="K72" i="1"/>
  <c r="K69" i="1"/>
  <c r="K46" i="1"/>
  <c r="K79" i="1"/>
  <c r="K80" i="1"/>
  <c r="K73" i="1"/>
  <c r="K74" i="1"/>
  <c r="K75" i="1"/>
  <c r="K57" i="1"/>
  <c r="K76" i="1"/>
  <c r="K81" i="1"/>
  <c r="K85" i="1" l="1"/>
  <c r="K84" i="1"/>
  <c r="A2" i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<sst xmlns="http://schemas.openxmlformats.org/spreadsheetml/2006/main" count="400" uniqueCount="214">
  <si>
    <t>Facilité de mise en oeuvre</t>
  </si>
  <si>
    <t>Impact Ecologique</t>
  </si>
  <si>
    <t>Tiers</t>
  </si>
  <si>
    <t>Préférer les CSS aux images</t>
  </si>
  <si>
    <t>Externaliser les CSS et JavaScript</t>
  </si>
  <si>
    <t>N'utilisez que les portions indispensables des librairies JavaScript et frameworks CSS</t>
  </si>
  <si>
    <t>Mettre en cache les objets souvent accédés en JavaScript</t>
  </si>
  <si>
    <t>Mettre en cache les données calculées souvent utilisées</t>
  </si>
  <si>
    <t>Minifier les fichiers CSS, JavaScript, HTML et SVG</t>
  </si>
  <si>
    <t>Optimiser les images</t>
  </si>
  <si>
    <t>Adapter la qualité de service et le niveau de disponibilité</t>
  </si>
  <si>
    <t>Héberger les ressources (CSS/JS) sur un domaine sans cookie</t>
  </si>
  <si>
    <t>Compresser les documents</t>
  </si>
  <si>
    <t>Limiter les outils d'analytics et les données collectées</t>
  </si>
  <si>
    <t>Privilégier HTTP/2 à HTTP/1</t>
  </si>
  <si>
    <t>Assurer la compatibilité avec les plus anciens appareils et logiciels du parc</t>
  </si>
  <si>
    <t>Réduire le volume de données stockées au strict nécessaire</t>
  </si>
  <si>
    <t>Mettre en place une politique d'expiration et suppression des données</t>
  </si>
  <si>
    <t>Limiter le recours aux canvas</t>
  </si>
  <si>
    <t>S'assurer que les parcours utilisateurs permettent de réaliser leur action prévue</t>
  </si>
  <si>
    <t>Ne charger des données/du code que lorsqu'elles sont/il est nécessaire</t>
  </si>
  <si>
    <t>Éliminer les fonctionnalités non utilisées</t>
  </si>
  <si>
    <t>Limiter le recours aux carrousels</t>
  </si>
  <si>
    <t>Avoir une stratégie de fin de vie des contenus</t>
  </si>
  <si>
    <t>Préférer la pagination au défilement infini</t>
  </si>
  <si>
    <t>N°</t>
  </si>
  <si>
    <t>Commentaire</t>
  </si>
  <si>
    <t>Niveau de priorité</t>
  </si>
  <si>
    <t>Éliminer les fonctionnalités non essentielles</t>
  </si>
  <si>
    <t>Utilisateur/Terminal</t>
  </si>
  <si>
    <t>Quantifier précisément le besoin</t>
  </si>
  <si>
    <t>Cycle de vie</t>
  </si>
  <si>
    <t>Spécification</t>
  </si>
  <si>
    <t>de fonctionnalités dont l'utilité n'a pas été vérifiée avec un panel d'utilisateurs avant développement</t>
  </si>
  <si>
    <t>Conception</t>
  </si>
  <si>
    <t>Optimiser le parcours utilisateur</t>
  </si>
  <si>
    <t>Préférer la saisie assistée à l'autocomplétion</t>
  </si>
  <si>
    <t>Privilégier une approche "mobile first", à défaut un chargement adaptatif</t>
  </si>
  <si>
    <t>Proposer un traitement asynchrone lorsque c'est possible</t>
  </si>
  <si>
    <t>Réseau</t>
  </si>
  <si>
    <t>Limiter le nombre de requêtes HTTP</t>
  </si>
  <si>
    <t>Réalisation (fabrication / développement)</t>
  </si>
  <si>
    <t xml:space="preserve">Stocker les données statiques localement </t>
  </si>
  <si>
    <t>Datacenter</t>
  </si>
  <si>
    <t>Créer une architecture applicative modulaire</t>
  </si>
  <si>
    <t>Choisir les technologies les plus adaptées</t>
  </si>
  <si>
    <t>Principe de validation (le nombre…)</t>
  </si>
  <si>
    <t>de points de friction</t>
  </si>
  <si>
    <t xml:space="preserve">de champs en autocomplétion </t>
  </si>
  <si>
    <t>de conception ne s'appuyant pas sur une approche "mobile first"</t>
  </si>
  <si>
    <t>de traitements synchrones qui prennent plus d'une minute</t>
  </si>
  <si>
    <t>d'architectures non modulaires</t>
  </si>
  <si>
    <t>de technologies inopportunes</t>
  </si>
  <si>
    <t>Utiliser certains forks applicatifs orientés "performance"</t>
  </si>
  <si>
    <t>Choisir un format de données adapté</t>
  </si>
  <si>
    <t>d'augmentations du niveau de disponibilité alors que le niveau actuel est suffisant</t>
  </si>
  <si>
    <t>de champs de la base dont le format est inadapté est</t>
  </si>
  <si>
    <t xml:space="preserve">Limiter le nombre de domaines servant les ressources </t>
  </si>
  <si>
    <t>Production</t>
  </si>
  <si>
    <t>de domaines servant les ressources</t>
  </si>
  <si>
    <t>Découper les CSS</t>
  </si>
  <si>
    <t>d'images qui auraient pu être remplacées par des CSS</t>
  </si>
  <si>
    <t xml:space="preserve">d'URL intégrant une quantité et / ou un nombre significatif de code CSS / Javascript (inline) </t>
  </si>
  <si>
    <t>de librairies dont des portions non indispensables sont utilisées</t>
  </si>
  <si>
    <t>de données constantes (ou non volatiles) récupérés à plusieurs reprises sans être mises en cache</t>
  </si>
  <si>
    <t>de données peu volatiles, demandant un calcul et accédées plusieurs fois, non mises dans un système de cache</t>
  </si>
  <si>
    <t>de fichiers CSS, JavaScript, HTML et SVG non minifiés</t>
  </si>
  <si>
    <t>de fichiers CSS et JS non combinés</t>
  </si>
  <si>
    <t>d'images non optimisées</t>
  </si>
  <si>
    <t xml:space="preserve">Fin de vie </t>
  </si>
  <si>
    <t>d'applications sans plan de fin de vie</t>
  </si>
  <si>
    <t xml:space="preserve">de caches non mis en RAM </t>
  </si>
  <si>
    <t>de domaines servant des ressources statiques AVEC un cookie</t>
  </si>
  <si>
    <t>Utilisation</t>
  </si>
  <si>
    <t>Limiter la taille des e-mails envoyés</t>
  </si>
  <si>
    <t>de courriels envoyés de plus de 1mo</t>
  </si>
  <si>
    <t>d'outils d'analytics</t>
  </si>
  <si>
    <t>de documents non compressés</t>
  </si>
  <si>
    <t xml:space="preserve">de requêtes utilisant HTTP/1 </t>
  </si>
  <si>
    <t>de fonctions non testées sur les configurations les plus contraignantes du contexte projet</t>
  </si>
  <si>
    <t>de données stockées inutilisées et sans contrainte légale</t>
  </si>
  <si>
    <t>de `canvas` pouvant être remplacé par un élément HTML</t>
  </si>
  <si>
    <t>de parcours utilisateurs complexes sans alternative low tech</t>
  </si>
  <si>
    <t>de ressources chargées qui ne sont pas immédiatement utilisées</t>
  </si>
  <si>
    <t>d'applications qui auraient pu être des PWA</t>
  </si>
  <si>
    <t>d'écrans présents dans le carrousel
de carrousels par pages</t>
  </si>
  <si>
    <t>Combiner les fichiers CSS et JavaScript</t>
  </si>
  <si>
    <t>de listes sans une pagination classique</t>
  </si>
  <si>
    <t>de fonctionnalité avec des dimensions supérieures aux besoins</t>
  </si>
  <si>
    <t>Limiter le nombre de CSS</t>
  </si>
  <si>
    <t>de fichiers CSS</t>
  </si>
  <si>
    <t>Écrire des sélecteurs CSS efficaces</t>
  </si>
  <si>
    <t>Favoriser les polices standards</t>
  </si>
  <si>
    <t>de polices téléchargées</t>
  </si>
  <si>
    <t>Préférer les glyphs aux images</t>
  </si>
  <si>
    <t>d'images qui auraient pu être remplacées par un glyphe (symbole de police de caractère)</t>
  </si>
  <si>
    <t>Ne pas redimensionner les images coté navigateur</t>
  </si>
  <si>
    <t>d'images redimensionnées dans le navigateur</t>
  </si>
  <si>
    <t>d'images, d'iframes et de vidéos appelés sans lazy loading, en dessous de la ligne de flottaison</t>
  </si>
  <si>
    <t>Éviter les animations JavaScript / CSS</t>
  </si>
  <si>
    <t>d'animations JS / CSS par page</t>
  </si>
  <si>
    <t>Éviter d'effectuer des requêtes SQL à l’intérieur d’une boucle</t>
  </si>
  <si>
    <t>de requêtes SQL à l'intérieur d'une boucle</t>
  </si>
  <si>
    <t>Optimiser les requêtes aux bases de données</t>
  </si>
  <si>
    <t>de requêtes peu performantes identifiées non optimisées</t>
  </si>
  <si>
    <t>Éviter le transfert d'une grande quantité de données pour réaliser un traitement</t>
  </si>
  <si>
    <t>de traitements avec une grande quantité de données exécutés en dehors du serveur de base de données</t>
  </si>
  <si>
    <t>Optimiser la taille des cookies</t>
  </si>
  <si>
    <t>de cookies non utiles ou non optimisés</t>
  </si>
  <si>
    <t>Utiliser des serveurs virtualisés</t>
  </si>
  <si>
    <t>d'applications non hébergées de façon mutualisée</t>
  </si>
  <si>
    <t>Installer le minimum requis sur le serveur</t>
  </si>
  <si>
    <t>de services non nécessaires au fonctionnement du site exécutés sur le système d'exploitation</t>
  </si>
  <si>
    <t>Stocker les données dans le cloud</t>
  </si>
  <si>
    <t>de ressources/données qui ne sont pas stockées sur une solution de cloud computing</t>
  </si>
  <si>
    <t>Afficher des pages d'erreur statiques</t>
  </si>
  <si>
    <t>de pages d'erreur dynamiques</t>
  </si>
  <si>
    <t>Utiliser un serveur asynchrone</t>
  </si>
  <si>
    <t>de serveurs applicatifs synchrones</t>
  </si>
  <si>
    <t>Ajouter des entêtes Expires ou Cache-Control</t>
  </si>
  <si>
    <t>d'entêtes manquantes Expires ou Cache-Control</t>
  </si>
  <si>
    <t>Réduire au nécessaire les logs des serveurs</t>
  </si>
  <si>
    <t>de logs sans durée maximale de rétention</t>
  </si>
  <si>
    <t>Optimiser les PDF</t>
  </si>
  <si>
    <t>de PDF non optimisés</t>
  </si>
  <si>
    <t>Limiter les e-mails lourds et redondants</t>
  </si>
  <si>
    <t>d'emails avec pièce jointe</t>
  </si>
  <si>
    <t>Limiter l'utilisation des GIFs animés</t>
  </si>
  <si>
    <t>de fichier gif animé</t>
  </si>
  <si>
    <t>Économiser de la bande passante grace à un ServiceWorker</t>
  </si>
  <si>
    <t>de pages chargées dans leur version complète</t>
  </si>
  <si>
    <t>Utiliser la version la plus récente du langage</t>
  </si>
  <si>
    <t xml:space="preserve">de versions majeures de retard sur la dernière version stable du langage </t>
  </si>
  <si>
    <t xml:space="preserve">Mettre en place une architecture élastique </t>
  </si>
  <si>
    <t>le nombrede ressources réservées inutilement quand la charge est faible</t>
  </si>
  <si>
    <t>Ne pas afficher les documents à l'intérieur des pages</t>
  </si>
  <si>
    <t>documents affichés dans un contenu</t>
  </si>
  <si>
    <t>Grouper les déclarations CSS similaires</t>
  </si>
  <si>
    <t>de déclaration CSS similaires non regroupées</t>
  </si>
  <si>
    <t>Utiliser les notations CSS abrégées</t>
  </si>
  <si>
    <t>de notations CSS non abrégés</t>
  </si>
  <si>
    <t>Eviter d'utiliser des images matricielles pour l'interface</t>
  </si>
  <si>
    <t>d'images matricielles pour l'URL testée</t>
  </si>
  <si>
    <t>Optimiser les images vectorielles</t>
  </si>
  <si>
    <t>Valider votre code avec un Linter</t>
  </si>
  <si>
    <t>de lignes de code source non validées par des outils comme ESLint</t>
  </si>
  <si>
    <t>Compresser les fichiers CSS, JavaScript, HTML et SVG</t>
  </si>
  <si>
    <t>Favoriser HSTS Preload list aux redirections 301</t>
  </si>
  <si>
    <t>de non activation de HSTS</t>
  </si>
  <si>
    <t>Choisir un hébergeur "éco-responsable"</t>
  </si>
  <si>
    <t>d'hébergeurs dont le PUE supérieur à 1,5</t>
  </si>
  <si>
    <t>Utiliser un CDN</t>
  </si>
  <si>
    <t>de ressources servies (fichiers) sans utiliser un CDN</t>
  </si>
  <si>
    <t>Désactiver le DNS lookup d’Apache</t>
  </si>
  <si>
    <t>de DNS lookup actif</t>
  </si>
  <si>
    <t>Apache Vhost : désactiver le AllowOverride</t>
  </si>
  <si>
    <t>de fichiers de configuration contenant le texte "AllowOverride" avec autre chose que "AllowOverride None"</t>
  </si>
  <si>
    <t>Adapter les textes au aux interfaces web et app mobiles</t>
  </si>
  <si>
    <t>de textes affichées sur le web/app mobile et ayant une note issue de l'indice de lisibilité Flesch-Kincaid inférieur à 60</t>
  </si>
  <si>
    <t>Adapter les vidéos aux contextes de visualisation</t>
  </si>
  <si>
    <t>de vidéos avec une définition de 1080p ou + affichées sur le quand le terminal détecté n'est pas capable de supporter la qualité</t>
  </si>
  <si>
    <t>Éviter la lecture et le chargement automatique des vidéos et des sons</t>
  </si>
  <si>
    <t>d'éléments `&lt;vidéo&gt;` ou `&lt;audio&gt;` sans un attribut `preload="none"` ou `autoplay`</t>
  </si>
  <si>
    <t>Utiliser les compartiments CSS</t>
  </si>
  <si>
    <t>d'éléments non isolés</t>
  </si>
  <si>
    <t>Fournir une alternative textuelle aux contenus multimédias</t>
  </si>
  <si>
    <t>de fichiers multimédias sans alternative textuelle</t>
  </si>
  <si>
    <t>Mettre en place un "Circuit breaker"</t>
  </si>
  <si>
    <t>de "circuit breaker" non mis en place sur des services non critiques</t>
  </si>
  <si>
    <t>S’appuyer sur les services managés</t>
  </si>
  <si>
    <t>d'applications "backend" ne s'appuyant pas sur un service managé</t>
  </si>
  <si>
    <t>Score de Maturité</t>
  </si>
  <si>
    <t xml:space="preserve">de requêtes HTTP par vue </t>
  </si>
  <si>
    <t>de mises à jour et/ou de revue de contenus supérieures à 1 an</t>
  </si>
  <si>
    <t xml:space="preserve">Utiliser le chargement paresseux </t>
  </si>
  <si>
    <t>de contenus stockés et non accessibles sur l'application</t>
  </si>
  <si>
    <t xml:space="preserve">Entretenir son site/son app  régulièrement </t>
  </si>
  <si>
    <t xml:space="preserve">de données statiques non stockées localement </t>
  </si>
  <si>
    <t>de fonctionnalités peu utilisées présentes en production</t>
  </si>
  <si>
    <t>&lt;=3
&lt;=1</t>
  </si>
  <si>
    <t>&lt;=1</t>
  </si>
  <si>
    <t>&lt;=2</t>
  </si>
  <si>
    <t xml:space="preserve">de librairies CSS </t>
  </si>
  <si>
    <t>&gt;=2</t>
  </si>
  <si>
    <t>&lt;=5</t>
  </si>
  <si>
    <t>&lt;=15%</t>
  </si>
  <si>
    <t>&lt;=25%</t>
  </si>
  <si>
    <t>&lt;=40</t>
  </si>
  <si>
    <t>&lt;=10%</t>
  </si>
  <si>
    <t>&lt;=10</t>
  </si>
  <si>
    <t>&lt;=20%</t>
  </si>
  <si>
    <t xml:space="preserve">de forks orientés performance </t>
  </si>
  <si>
    <t>&gt;=1</t>
  </si>
  <si>
    <t xml:space="preserve">La plupart des URLs sont en dessous. </t>
  </si>
  <si>
    <t>Bootstrap intégré au HTML</t>
  </si>
  <si>
    <t xml:space="preserve">plan de fin de vie </t>
  </si>
  <si>
    <t>Mettre les caches en RAM</t>
  </si>
  <si>
    <t>de données stockées et non utiles pour l'application</t>
  </si>
  <si>
    <t>donées ok , code pas en lazy loading</t>
  </si>
  <si>
    <t>Préférer une PWA à une application mobile native similaire à l'interface web</t>
  </si>
  <si>
    <t>de sélecteurs CSS qui n'utilisent ni d'id, ni de classe et ni d'attribut</t>
  </si>
  <si>
    <t>à modifier selon contexte d'impression interne</t>
  </si>
  <si>
    <t xml:space="preserve">minimiser les impression de documents </t>
  </si>
  <si>
    <t>d'impressions non essentielle</t>
  </si>
  <si>
    <t xml:space="preserve">Seuil de validation </t>
  </si>
  <si>
    <t>Validation</t>
  </si>
  <si>
    <t>Bonne Pratique</t>
  </si>
  <si>
    <t xml:space="preserve">Score de maturité de niveau 1 </t>
  </si>
  <si>
    <t>Score de maturité de niveau 2</t>
  </si>
  <si>
    <t>Score de maturité de niveau 3</t>
  </si>
  <si>
    <t>#1</t>
  </si>
  <si>
    <t>#2</t>
  </si>
  <si>
    <t>#3</t>
  </si>
  <si>
    <t>Bonnes pratiques à prendre en considération par la DSI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</si>
</sst>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b/>
      <sz val="12"/>
      <color theme="0"/>
      <name val="Calibri"/>
      <family val="2"/>
      <scheme val="minor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0"/>
      <color theme="0"/>
      <name val="Calibri"/>
      <family val="2"/>
      <scheme val="minor"/>
    </font>
    <font>
      <b/>
      <sz val="14"/>
      <color rgb="FF000000"/>
      <name val="Calibri"/>
      <family val="2"/>
    </font>
    <font>
      <sz val="8"/>
      <name val="Calibri"/>
      <family val="2"/>
      <charset val="1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2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CD6F9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double">
        <color theme="1"/>
      </left>
      <right style="double">
        <color theme="1"/>
      </right>
      <top style="medium">
        <color theme="1"/>
      </top>
      <bottom/>
      <diagonal/>
    </border>
    <border>
      <left style="double">
        <color theme="1"/>
      </left>
      <right style="double">
        <color theme="1"/>
      </right>
      <top/>
      <bottom/>
      <diagonal/>
    </border>
    <border>
      <left style="double">
        <color theme="1"/>
      </left>
      <right style="double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9" fontId="9" fillId="7" borderId="25" xfId="1" applyFont="1" applyFill="1" applyBorder="1" applyAlignment="1">
      <alignment horizontal="center" vertical="center" wrapText="1"/>
    </xf>
    <xf numFmtId="9" fontId="9" fillId="8" borderId="26" xfId="1" applyFont="1" applyFill="1" applyBorder="1" applyAlignment="1">
      <alignment horizontal="center" vertical="center" wrapText="1"/>
    </xf>
    <xf numFmtId="9" fontId="9" fillId="7" borderId="27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9" borderId="19" xfId="0" applyFont="1" applyFill="1" applyBorder="1" applyAlignment="1">
      <alignment vertical="center"/>
    </xf>
    <xf numFmtId="0" fontId="5" fillId="9" borderId="20" xfId="0" applyFont="1" applyFill="1" applyBorder="1" applyAlignment="1">
      <alignment vertical="center"/>
    </xf>
    <xf numFmtId="0" fontId="5" fillId="9" borderId="20" xfId="0" applyFont="1" applyFill="1" applyBorder="1"/>
    <xf numFmtId="0" fontId="5" fillId="9" borderId="21" xfId="0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9" fontId="0" fillId="0" borderId="1" xfId="0" applyNumberFormat="1" applyFill="1" applyBorder="1" applyAlignment="1">
      <alignment horizontal="center"/>
    </xf>
    <xf numFmtId="0" fontId="0" fillId="0" borderId="15" xfId="0" applyFill="1" applyBorder="1"/>
    <xf numFmtId="0" fontId="2" fillId="0" borderId="15" xfId="0" applyFont="1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4" xfId="0" applyFill="1" applyBorder="1"/>
  </cellXfs>
  <cellStyles count="2">
    <cellStyle name="Normal" xfId="0" builtinId="0"/>
    <cellStyle name="Per cent" xfId="1" builtinId="5"/>
  </cellStyles>
  <dxfs count="1">
    <dxf>
      <fill>
        <patternFill patternType="solid">
          <fgColor rgb="FFFFCA08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CD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23"/>
  <sheetViews>
    <sheetView tabSelected="1" zoomScale="50" zoomScaleNormal="85" workbookViewId="0">
      <selection activeCell="E13" sqref="E13"/>
    </sheetView>
  </sheetViews>
  <sheetFormatPr baseColWidth="10" defaultColWidth="8.6640625" defaultRowHeight="15" outlineLevelCol="1" x14ac:dyDescent="0.2"/>
  <cols>
    <col min="1" max="1" width="9" style="1" customWidth="1"/>
    <col min="2" max="2" width="89.33203125" style="5" customWidth="1"/>
    <col min="3" max="3" width="22.1640625" style="1" customWidth="1" outlineLevel="1"/>
    <col min="4" max="4" width="24.5" style="1" customWidth="1" outlineLevel="1"/>
    <col min="5" max="5" width="19.83203125" style="1" customWidth="1" outlineLevel="1"/>
    <col min="6" max="6" width="20.6640625" customWidth="1" outlineLevel="1"/>
    <col min="7" max="7" width="29.33203125" customWidth="1" outlineLevel="1"/>
    <col min="8" max="8" width="86.1640625" style="5" customWidth="1"/>
    <col min="9" max="9" width="28.5" style="2" customWidth="1"/>
    <col min="10" max="11" width="27.5" style="7" customWidth="1"/>
    <col min="12" max="12" width="39.6640625" customWidth="1"/>
    <col min="13" max="13" width="11.83203125" customWidth="1"/>
    <col min="14" max="14" width="12.1640625" customWidth="1"/>
    <col min="15" max="15" width="11.83203125" customWidth="1"/>
  </cols>
  <sheetData>
    <row r="1" spans="1:12" s="13" customFormat="1" ht="69" customHeight="1" thickBot="1" x14ac:dyDescent="0.25">
      <c r="A1" s="34" t="s">
        <v>25</v>
      </c>
      <c r="B1" s="35" t="s">
        <v>206</v>
      </c>
      <c r="C1" s="35" t="s">
        <v>27</v>
      </c>
      <c r="D1" s="35" t="s">
        <v>0</v>
      </c>
      <c r="E1" s="35" t="s">
        <v>1</v>
      </c>
      <c r="F1" s="35" t="s">
        <v>2</v>
      </c>
      <c r="G1" s="35" t="s">
        <v>31</v>
      </c>
      <c r="H1" s="35" t="s">
        <v>46</v>
      </c>
      <c r="I1" s="35" t="s">
        <v>204</v>
      </c>
      <c r="J1" s="35" t="s">
        <v>205</v>
      </c>
      <c r="K1" s="36" t="s">
        <v>171</v>
      </c>
      <c r="L1" s="35" t="s">
        <v>26</v>
      </c>
    </row>
    <row r="2" spans="1:12" s="3" customFormat="1" ht="19" x14ac:dyDescent="0.2">
      <c r="A2" s="17" cm="1">
        <f t="array" aca="1" ref="A2" ca="1">A2:L818</f>
        <v>0</v>
      </c>
      <c r="B2" s="46" t="s">
        <v>38</v>
      </c>
      <c r="C2" s="51">
        <v>1</v>
      </c>
      <c r="D2" s="51">
        <v>3</v>
      </c>
      <c r="E2" s="51">
        <v>4</v>
      </c>
      <c r="F2" s="52" t="s">
        <v>39</v>
      </c>
      <c r="G2" s="52" t="s">
        <v>34</v>
      </c>
      <c r="H2" s="52" t="s">
        <v>50</v>
      </c>
      <c r="I2" s="51">
        <v>0</v>
      </c>
      <c r="J2" s="51"/>
      <c r="K2" s="51">
        <f t="shared" ref="K2:K33" si="0">J2*E2</f>
        <v>0</v>
      </c>
      <c r="L2" s="53"/>
    </row>
    <row r="3" spans="1:12" s="3" customFormat="1" ht="19" x14ac:dyDescent="0.2">
      <c r="A3" s="18"/>
      <c r="B3" s="47" t="s">
        <v>40</v>
      </c>
      <c r="C3" s="54">
        <v>1</v>
      </c>
      <c r="D3" s="54">
        <v>3</v>
      </c>
      <c r="E3" s="54">
        <v>4</v>
      </c>
      <c r="F3" s="55" t="s">
        <v>39</v>
      </c>
      <c r="G3" s="55" t="s">
        <v>41</v>
      </c>
      <c r="H3" s="55" t="s">
        <v>172</v>
      </c>
      <c r="I3" s="54" t="s">
        <v>187</v>
      </c>
      <c r="J3" s="54"/>
      <c r="K3" s="54">
        <f t="shared" si="0"/>
        <v>0</v>
      </c>
      <c r="L3" s="56" t="s">
        <v>193</v>
      </c>
    </row>
    <row r="4" spans="1:12" s="3" customFormat="1" ht="19" x14ac:dyDescent="0.2">
      <c r="A4" s="18">
        <v>18</v>
      </c>
      <c r="B4" s="47" t="s">
        <v>57</v>
      </c>
      <c r="C4" s="54">
        <v>1</v>
      </c>
      <c r="D4" s="54">
        <v>3</v>
      </c>
      <c r="E4" s="54">
        <v>4</v>
      </c>
      <c r="F4" s="55" t="s">
        <v>39</v>
      </c>
      <c r="G4" s="55" t="s">
        <v>58</v>
      </c>
      <c r="H4" s="55" t="s">
        <v>59</v>
      </c>
      <c r="I4" s="54" t="s">
        <v>184</v>
      </c>
      <c r="J4" s="54"/>
      <c r="K4" s="54">
        <f t="shared" si="0"/>
        <v>0</v>
      </c>
      <c r="L4" s="56"/>
    </row>
    <row r="5" spans="1:12" s="3" customFormat="1" ht="19" x14ac:dyDescent="0.2">
      <c r="A5" s="18">
        <v>21</v>
      </c>
      <c r="B5" s="47" t="s">
        <v>60</v>
      </c>
      <c r="C5" s="54">
        <v>1</v>
      </c>
      <c r="D5" s="54">
        <v>4</v>
      </c>
      <c r="E5" s="54">
        <v>4</v>
      </c>
      <c r="F5" s="55" t="s">
        <v>39</v>
      </c>
      <c r="G5" s="55" t="s">
        <v>41</v>
      </c>
      <c r="H5" s="55" t="s">
        <v>182</v>
      </c>
      <c r="I5" s="54" t="s">
        <v>183</v>
      </c>
      <c r="J5" s="54"/>
      <c r="K5" s="54">
        <f t="shared" si="0"/>
        <v>0</v>
      </c>
      <c r="L5" s="56"/>
    </row>
    <row r="6" spans="1:12" s="3" customFormat="1" ht="19" x14ac:dyDescent="0.2">
      <c r="A6" s="18">
        <v>23</v>
      </c>
      <c r="B6" s="47" t="s">
        <v>3</v>
      </c>
      <c r="C6" s="54">
        <v>1</v>
      </c>
      <c r="D6" s="54">
        <v>3</v>
      </c>
      <c r="E6" s="54">
        <v>4</v>
      </c>
      <c r="F6" s="55" t="s">
        <v>39</v>
      </c>
      <c r="G6" s="55" t="s">
        <v>41</v>
      </c>
      <c r="H6" s="55" t="s">
        <v>61</v>
      </c>
      <c r="I6" s="54">
        <v>0</v>
      </c>
      <c r="J6" s="54"/>
      <c r="K6" s="54">
        <f t="shared" si="0"/>
        <v>0</v>
      </c>
      <c r="L6" s="56"/>
    </row>
    <row r="7" spans="1:12" s="3" customFormat="1" ht="19" x14ac:dyDescent="0.2">
      <c r="A7" s="18">
        <v>32</v>
      </c>
      <c r="B7" s="47" t="s">
        <v>4</v>
      </c>
      <c r="C7" s="54">
        <v>1</v>
      </c>
      <c r="D7" s="54">
        <v>4</v>
      </c>
      <c r="E7" s="54">
        <v>4</v>
      </c>
      <c r="F7" s="55" t="s">
        <v>39</v>
      </c>
      <c r="G7" s="55" t="s">
        <v>41</v>
      </c>
      <c r="H7" s="55" t="s">
        <v>62</v>
      </c>
      <c r="I7" s="54" t="s">
        <v>181</v>
      </c>
      <c r="J7" s="54"/>
      <c r="K7" s="54">
        <f t="shared" si="0"/>
        <v>0</v>
      </c>
      <c r="L7" s="56" t="s">
        <v>194</v>
      </c>
    </row>
    <row r="8" spans="1:12" s="3" customFormat="1" ht="19" x14ac:dyDescent="0.2">
      <c r="A8" s="18">
        <v>40</v>
      </c>
      <c r="B8" s="47" t="s">
        <v>5</v>
      </c>
      <c r="C8" s="54">
        <v>1</v>
      </c>
      <c r="D8" s="54">
        <v>4</v>
      </c>
      <c r="E8" s="54">
        <v>4</v>
      </c>
      <c r="F8" s="55" t="s">
        <v>39</v>
      </c>
      <c r="G8" s="55" t="s">
        <v>34</v>
      </c>
      <c r="H8" s="55" t="s">
        <v>63</v>
      </c>
      <c r="I8" s="54" t="s">
        <v>180</v>
      </c>
      <c r="J8" s="54"/>
      <c r="K8" s="54">
        <f t="shared" si="0"/>
        <v>0</v>
      </c>
      <c r="L8" s="56"/>
    </row>
    <row r="9" spans="1:12" s="3" customFormat="1" ht="19" x14ac:dyDescent="0.2">
      <c r="A9" s="18">
        <v>49</v>
      </c>
      <c r="B9" s="47" t="s">
        <v>6</v>
      </c>
      <c r="C9" s="54">
        <v>1</v>
      </c>
      <c r="D9" s="54">
        <v>3</v>
      </c>
      <c r="E9" s="54">
        <v>4</v>
      </c>
      <c r="F9" s="55" t="s">
        <v>39</v>
      </c>
      <c r="G9" s="55" t="s">
        <v>41</v>
      </c>
      <c r="H9" s="55" t="s">
        <v>64</v>
      </c>
      <c r="I9" s="54">
        <v>0</v>
      </c>
      <c r="J9" s="54"/>
      <c r="K9" s="54">
        <f t="shared" si="0"/>
        <v>0</v>
      </c>
      <c r="L9" s="56"/>
    </row>
    <row r="10" spans="1:12" s="3" customFormat="1" ht="19" x14ac:dyDescent="0.2">
      <c r="A10" s="18">
        <v>64</v>
      </c>
      <c r="B10" s="47" t="s">
        <v>7</v>
      </c>
      <c r="C10" s="54">
        <v>1</v>
      </c>
      <c r="D10" s="54">
        <v>3</v>
      </c>
      <c r="E10" s="54">
        <v>4</v>
      </c>
      <c r="F10" s="55" t="s">
        <v>39</v>
      </c>
      <c r="G10" s="55" t="s">
        <v>34</v>
      </c>
      <c r="H10" s="55" t="s">
        <v>65</v>
      </c>
      <c r="I10" s="54">
        <v>0</v>
      </c>
      <c r="J10" s="54"/>
      <c r="K10" s="54">
        <f t="shared" si="0"/>
        <v>0</v>
      </c>
      <c r="L10" s="56"/>
    </row>
    <row r="11" spans="1:12" s="3" customFormat="1" ht="19" x14ac:dyDescent="0.2">
      <c r="A11" s="18">
        <v>77</v>
      </c>
      <c r="B11" s="47" t="s">
        <v>8</v>
      </c>
      <c r="C11" s="54">
        <v>1</v>
      </c>
      <c r="D11" s="54">
        <v>3</v>
      </c>
      <c r="E11" s="54">
        <v>4</v>
      </c>
      <c r="F11" s="55" t="s">
        <v>39</v>
      </c>
      <c r="G11" s="55" t="s">
        <v>58</v>
      </c>
      <c r="H11" s="55" t="s">
        <v>66</v>
      </c>
      <c r="I11" s="54">
        <v>0</v>
      </c>
      <c r="J11" s="54"/>
      <c r="K11" s="54">
        <f t="shared" si="0"/>
        <v>0</v>
      </c>
      <c r="L11" s="56"/>
    </row>
    <row r="12" spans="1:12" s="3" customFormat="1" ht="19" x14ac:dyDescent="0.2">
      <c r="A12" s="18">
        <v>79</v>
      </c>
      <c r="B12" s="47" t="s">
        <v>86</v>
      </c>
      <c r="C12" s="54">
        <v>1</v>
      </c>
      <c r="D12" s="54">
        <v>3</v>
      </c>
      <c r="E12" s="54">
        <v>4</v>
      </c>
      <c r="F12" s="55" t="s">
        <v>39</v>
      </c>
      <c r="G12" s="55" t="s">
        <v>58</v>
      </c>
      <c r="H12" s="55" t="s">
        <v>67</v>
      </c>
      <c r="I12" s="54" t="s">
        <v>181</v>
      </c>
      <c r="J12" s="54"/>
      <c r="K12" s="54">
        <f t="shared" si="0"/>
        <v>0</v>
      </c>
      <c r="L12" s="56"/>
    </row>
    <row r="13" spans="1:12" s="3" customFormat="1" ht="19" x14ac:dyDescent="0.2">
      <c r="A13" s="18">
        <v>4006</v>
      </c>
      <c r="B13" s="47" t="s">
        <v>14</v>
      </c>
      <c r="C13" s="54">
        <v>1</v>
      </c>
      <c r="D13" s="54">
        <v>4</v>
      </c>
      <c r="E13" s="54">
        <v>4</v>
      </c>
      <c r="F13" s="55" t="s">
        <v>39</v>
      </c>
      <c r="G13" s="55" t="s">
        <v>58</v>
      </c>
      <c r="H13" s="55" t="s">
        <v>78</v>
      </c>
      <c r="I13" s="54" t="s">
        <v>180</v>
      </c>
      <c r="J13" s="54"/>
      <c r="K13" s="54">
        <f t="shared" si="0"/>
        <v>0</v>
      </c>
      <c r="L13" s="56"/>
    </row>
    <row r="14" spans="1:12" s="3" customFormat="1" ht="19" x14ac:dyDescent="0.2">
      <c r="A14" s="18">
        <v>4035</v>
      </c>
      <c r="B14" s="47" t="s">
        <v>24</v>
      </c>
      <c r="C14" s="54">
        <v>1</v>
      </c>
      <c r="D14" s="54">
        <v>4</v>
      </c>
      <c r="E14" s="54">
        <v>3</v>
      </c>
      <c r="F14" s="55" t="s">
        <v>39</v>
      </c>
      <c r="G14" s="55" t="s">
        <v>34</v>
      </c>
      <c r="H14" s="55" t="s">
        <v>87</v>
      </c>
      <c r="I14" s="57" t="s">
        <v>188</v>
      </c>
      <c r="J14" s="54"/>
      <c r="K14" s="54">
        <f t="shared" si="0"/>
        <v>0</v>
      </c>
      <c r="L14" s="56"/>
    </row>
    <row r="15" spans="1:12" s="3" customFormat="1" ht="19" x14ac:dyDescent="0.2">
      <c r="A15" s="18">
        <v>30</v>
      </c>
      <c r="B15" s="47" t="s">
        <v>94</v>
      </c>
      <c r="C15" s="54">
        <v>1</v>
      </c>
      <c r="D15" s="54">
        <v>3</v>
      </c>
      <c r="E15" s="54">
        <v>4</v>
      </c>
      <c r="F15" s="55" t="s">
        <v>39</v>
      </c>
      <c r="G15" s="55" t="s">
        <v>41</v>
      </c>
      <c r="H15" s="55" t="s">
        <v>95</v>
      </c>
      <c r="I15" s="54">
        <v>0</v>
      </c>
      <c r="J15" s="54"/>
      <c r="K15" s="54">
        <f t="shared" si="0"/>
        <v>0</v>
      </c>
      <c r="L15" s="56"/>
    </row>
    <row r="16" spans="1:12" s="3" customFormat="1" ht="17" customHeight="1" x14ac:dyDescent="0.2">
      <c r="A16" s="18">
        <v>101</v>
      </c>
      <c r="B16" s="47" t="s">
        <v>119</v>
      </c>
      <c r="C16" s="54">
        <v>1</v>
      </c>
      <c r="D16" s="54">
        <v>3</v>
      </c>
      <c r="E16" s="54">
        <v>4</v>
      </c>
      <c r="F16" s="55" t="s">
        <v>39</v>
      </c>
      <c r="G16" s="55" t="s">
        <v>58</v>
      </c>
      <c r="H16" s="55" t="s">
        <v>120</v>
      </c>
      <c r="I16" s="54">
        <v>0</v>
      </c>
      <c r="J16" s="54"/>
      <c r="K16" s="54">
        <f t="shared" si="0"/>
        <v>0</v>
      </c>
      <c r="L16" s="56"/>
    </row>
    <row r="17" spans="1:12" s="3" customFormat="1" ht="19" x14ac:dyDescent="0.2">
      <c r="A17" s="18">
        <v>4007</v>
      </c>
      <c r="B17" s="47" t="s">
        <v>129</v>
      </c>
      <c r="C17" s="54">
        <v>1</v>
      </c>
      <c r="D17" s="54">
        <v>3</v>
      </c>
      <c r="E17" s="54">
        <v>4</v>
      </c>
      <c r="F17" s="55" t="s">
        <v>39</v>
      </c>
      <c r="G17" s="55" t="s">
        <v>41</v>
      </c>
      <c r="H17" s="55" t="s">
        <v>130</v>
      </c>
      <c r="I17" s="54" t="s">
        <v>180</v>
      </c>
      <c r="J17" s="54"/>
      <c r="K17" s="54">
        <f t="shared" si="0"/>
        <v>0</v>
      </c>
      <c r="L17" s="56"/>
    </row>
    <row r="18" spans="1:12" s="3" customFormat="1" ht="19" x14ac:dyDescent="0.25">
      <c r="A18" s="19">
        <v>37</v>
      </c>
      <c r="B18" s="48" t="s">
        <v>174</v>
      </c>
      <c r="C18" s="58">
        <v>1</v>
      </c>
      <c r="D18" s="58">
        <v>4</v>
      </c>
      <c r="E18" s="58">
        <v>5</v>
      </c>
      <c r="F18" s="59" t="s">
        <v>39</v>
      </c>
      <c r="G18" s="59" t="s">
        <v>41</v>
      </c>
      <c r="H18" s="59" t="s">
        <v>98</v>
      </c>
      <c r="I18" s="60">
        <v>0</v>
      </c>
      <c r="J18" s="54"/>
      <c r="K18" s="54">
        <f t="shared" si="0"/>
        <v>0</v>
      </c>
      <c r="L18" s="61"/>
    </row>
    <row r="19" spans="1:12" s="3" customFormat="1" ht="19" x14ac:dyDescent="0.2">
      <c r="A19" s="18">
        <v>1</v>
      </c>
      <c r="B19" s="47" t="s">
        <v>28</v>
      </c>
      <c r="C19" s="54">
        <v>1</v>
      </c>
      <c r="D19" s="54">
        <v>4</v>
      </c>
      <c r="E19" s="54">
        <v>5</v>
      </c>
      <c r="F19" s="55" t="s">
        <v>29</v>
      </c>
      <c r="G19" s="55" t="s">
        <v>32</v>
      </c>
      <c r="H19" s="55" t="s">
        <v>33</v>
      </c>
      <c r="I19" s="57">
        <v>0</v>
      </c>
      <c r="J19" s="54"/>
      <c r="K19" s="54">
        <f t="shared" si="0"/>
        <v>0</v>
      </c>
      <c r="L19" s="56"/>
    </row>
    <row r="20" spans="1:12" s="3" customFormat="1" ht="19" x14ac:dyDescent="0.2">
      <c r="A20" s="18">
        <v>2</v>
      </c>
      <c r="B20" s="47" t="s">
        <v>30</v>
      </c>
      <c r="C20" s="54">
        <v>1</v>
      </c>
      <c r="D20" s="54">
        <v>4</v>
      </c>
      <c r="E20" s="54">
        <v>5</v>
      </c>
      <c r="F20" s="55" t="s">
        <v>29</v>
      </c>
      <c r="G20" s="55" t="s">
        <v>32</v>
      </c>
      <c r="H20" s="55" t="s">
        <v>88</v>
      </c>
      <c r="I20" s="54">
        <v>0</v>
      </c>
      <c r="J20" s="54"/>
      <c r="K20" s="54">
        <f t="shared" si="0"/>
        <v>0</v>
      </c>
      <c r="L20" s="56"/>
    </row>
    <row r="21" spans="1:12" s="3" customFormat="1" ht="19" x14ac:dyDescent="0.2">
      <c r="A21" s="18">
        <v>80</v>
      </c>
      <c r="B21" s="47" t="s">
        <v>9</v>
      </c>
      <c r="C21" s="54">
        <v>1</v>
      </c>
      <c r="D21" s="54">
        <v>3</v>
      </c>
      <c r="E21" s="54">
        <v>4</v>
      </c>
      <c r="F21" s="55" t="s">
        <v>29</v>
      </c>
      <c r="G21" s="55" t="s">
        <v>41</v>
      </c>
      <c r="H21" s="55" t="s">
        <v>68</v>
      </c>
      <c r="I21" s="54">
        <v>0</v>
      </c>
      <c r="J21" s="54"/>
      <c r="K21" s="54">
        <f t="shared" si="0"/>
        <v>0</v>
      </c>
      <c r="L21" s="56"/>
    </row>
    <row r="22" spans="1:12" s="3" customFormat="1" ht="19" x14ac:dyDescent="0.2">
      <c r="A22" s="18">
        <v>4001</v>
      </c>
      <c r="B22" s="47" t="s">
        <v>13</v>
      </c>
      <c r="C22" s="54">
        <v>1</v>
      </c>
      <c r="D22" s="54">
        <v>3</v>
      </c>
      <c r="E22" s="54">
        <v>4</v>
      </c>
      <c r="F22" s="55" t="s">
        <v>29</v>
      </c>
      <c r="G22" s="55" t="s">
        <v>73</v>
      </c>
      <c r="H22" s="55" t="s">
        <v>76</v>
      </c>
      <c r="I22" s="54" t="s">
        <v>180</v>
      </c>
      <c r="J22" s="54"/>
      <c r="K22" s="54">
        <f t="shared" si="0"/>
        <v>0</v>
      </c>
      <c r="L22" s="56"/>
    </row>
    <row r="23" spans="1:12" s="3" customFormat="1" ht="19" x14ac:dyDescent="0.2">
      <c r="A23" s="18">
        <v>4009</v>
      </c>
      <c r="B23" s="47" t="s">
        <v>15</v>
      </c>
      <c r="C23" s="54">
        <v>1</v>
      </c>
      <c r="D23" s="54">
        <v>3</v>
      </c>
      <c r="E23" s="54">
        <v>5</v>
      </c>
      <c r="F23" s="55" t="s">
        <v>29</v>
      </c>
      <c r="G23" s="55" t="s">
        <v>41</v>
      </c>
      <c r="H23" s="55" t="s">
        <v>79</v>
      </c>
      <c r="I23" s="54">
        <v>0</v>
      </c>
      <c r="J23" s="54"/>
      <c r="K23" s="54">
        <f t="shared" si="0"/>
        <v>0</v>
      </c>
      <c r="L23" s="56"/>
    </row>
    <row r="24" spans="1:12" s="3" customFormat="1" ht="19" x14ac:dyDescent="0.2">
      <c r="A24" s="18">
        <v>4013</v>
      </c>
      <c r="B24" s="47" t="s">
        <v>18</v>
      </c>
      <c r="C24" s="54">
        <v>1</v>
      </c>
      <c r="D24" s="54">
        <v>4</v>
      </c>
      <c r="E24" s="54">
        <v>4</v>
      </c>
      <c r="F24" s="55" t="s">
        <v>29</v>
      </c>
      <c r="G24" s="55" t="s">
        <v>41</v>
      </c>
      <c r="H24" s="55" t="s">
        <v>81</v>
      </c>
      <c r="I24" s="54">
        <v>0</v>
      </c>
      <c r="J24" s="54"/>
      <c r="K24" s="54">
        <f t="shared" si="0"/>
        <v>0</v>
      </c>
      <c r="L24" s="56"/>
    </row>
    <row r="25" spans="1:12" s="3" customFormat="1" ht="19" x14ac:dyDescent="0.2">
      <c r="A25" s="18">
        <v>4017</v>
      </c>
      <c r="B25" s="47" t="s">
        <v>20</v>
      </c>
      <c r="C25" s="54">
        <v>1</v>
      </c>
      <c r="D25" s="54">
        <v>3</v>
      </c>
      <c r="E25" s="54">
        <v>5</v>
      </c>
      <c r="F25" s="55" t="s">
        <v>29</v>
      </c>
      <c r="G25" s="55" t="s">
        <v>41</v>
      </c>
      <c r="H25" s="55" t="s">
        <v>83</v>
      </c>
      <c r="I25" s="54">
        <v>0</v>
      </c>
      <c r="J25" s="54"/>
      <c r="K25" s="54">
        <f t="shared" si="0"/>
        <v>0</v>
      </c>
      <c r="L25" s="56" t="s">
        <v>198</v>
      </c>
    </row>
    <row r="26" spans="1:12" s="3" customFormat="1" ht="19" x14ac:dyDescent="0.2">
      <c r="A26" s="18">
        <v>4018</v>
      </c>
      <c r="B26" s="47" t="s">
        <v>21</v>
      </c>
      <c r="C26" s="54">
        <v>1</v>
      </c>
      <c r="D26" s="54">
        <v>3</v>
      </c>
      <c r="E26" s="54">
        <v>5</v>
      </c>
      <c r="F26" s="55" t="s">
        <v>29</v>
      </c>
      <c r="G26" s="55" t="s">
        <v>32</v>
      </c>
      <c r="H26" s="55" t="s">
        <v>178</v>
      </c>
      <c r="I26" s="57">
        <v>0.1</v>
      </c>
      <c r="J26" s="54"/>
      <c r="K26" s="54">
        <f t="shared" si="0"/>
        <v>0</v>
      </c>
      <c r="L26" s="56"/>
    </row>
    <row r="27" spans="1:12" s="3" customFormat="1" ht="19" x14ac:dyDescent="0.2">
      <c r="A27" s="18">
        <v>4019</v>
      </c>
      <c r="B27" s="47" t="s">
        <v>199</v>
      </c>
      <c r="C27" s="54">
        <v>1</v>
      </c>
      <c r="D27" s="54">
        <v>3</v>
      </c>
      <c r="E27" s="54">
        <v>3</v>
      </c>
      <c r="F27" s="55" t="s">
        <v>29</v>
      </c>
      <c r="G27" s="55" t="s">
        <v>34</v>
      </c>
      <c r="H27" s="55" t="s">
        <v>84</v>
      </c>
      <c r="I27" s="54">
        <v>0</v>
      </c>
      <c r="J27" s="54"/>
      <c r="K27" s="54">
        <f t="shared" si="0"/>
        <v>0</v>
      </c>
      <c r="L27" s="56"/>
    </row>
    <row r="28" spans="1:12" s="3" customFormat="1" ht="19" x14ac:dyDescent="0.2">
      <c r="A28" s="18">
        <v>4030</v>
      </c>
      <c r="B28" s="47" t="s">
        <v>22</v>
      </c>
      <c r="C28" s="54">
        <v>1</v>
      </c>
      <c r="D28" s="54">
        <v>4</v>
      </c>
      <c r="E28" s="54">
        <v>4</v>
      </c>
      <c r="F28" s="55" t="s">
        <v>29</v>
      </c>
      <c r="G28" s="55" t="s">
        <v>34</v>
      </c>
      <c r="H28" s="55" t="s">
        <v>85</v>
      </c>
      <c r="I28" s="54" t="s">
        <v>179</v>
      </c>
      <c r="J28" s="54"/>
      <c r="K28" s="54">
        <f t="shared" si="0"/>
        <v>0</v>
      </c>
      <c r="L28" s="56"/>
    </row>
    <row r="29" spans="1:12" s="3" customFormat="1" ht="19" x14ac:dyDescent="0.2">
      <c r="A29" s="18">
        <v>34</v>
      </c>
      <c r="B29" s="47" t="s">
        <v>96</v>
      </c>
      <c r="C29" s="54">
        <v>1</v>
      </c>
      <c r="D29" s="54">
        <v>4</v>
      </c>
      <c r="E29" s="54">
        <v>4</v>
      </c>
      <c r="F29" s="55" t="s">
        <v>29</v>
      </c>
      <c r="G29" s="55" t="s">
        <v>41</v>
      </c>
      <c r="H29" s="55" t="s">
        <v>97</v>
      </c>
      <c r="I29" s="54">
        <v>0</v>
      </c>
      <c r="J29" s="54"/>
      <c r="K29" s="54">
        <f t="shared" si="0"/>
        <v>0</v>
      </c>
      <c r="L29" s="56"/>
    </row>
    <row r="30" spans="1:12" s="3" customFormat="1" ht="19" x14ac:dyDescent="0.2">
      <c r="A30" s="18">
        <v>6</v>
      </c>
      <c r="B30" s="47" t="s">
        <v>37</v>
      </c>
      <c r="C30" s="54">
        <v>1</v>
      </c>
      <c r="D30" s="54">
        <v>4</v>
      </c>
      <c r="E30" s="54">
        <v>5</v>
      </c>
      <c r="F30" s="55" t="s">
        <v>29</v>
      </c>
      <c r="G30" s="55" t="s">
        <v>34</v>
      </c>
      <c r="H30" s="55" t="s">
        <v>49</v>
      </c>
      <c r="I30" s="54" t="s">
        <v>180</v>
      </c>
      <c r="J30" s="54"/>
      <c r="K30" s="54">
        <f t="shared" si="0"/>
        <v>0</v>
      </c>
      <c r="L30" s="56"/>
    </row>
    <row r="31" spans="1:12" s="3" customFormat="1" ht="19" x14ac:dyDescent="0.25">
      <c r="A31" s="19">
        <v>4036</v>
      </c>
      <c r="B31" s="48" t="s">
        <v>176</v>
      </c>
      <c r="C31" s="58">
        <v>1</v>
      </c>
      <c r="D31" s="58">
        <v>4</v>
      </c>
      <c r="E31" s="58">
        <v>4</v>
      </c>
      <c r="F31" s="59" t="s">
        <v>29</v>
      </c>
      <c r="G31" s="59" t="s">
        <v>73</v>
      </c>
      <c r="H31" s="59" t="s">
        <v>173</v>
      </c>
      <c r="I31" s="58">
        <v>0</v>
      </c>
      <c r="J31" s="54"/>
      <c r="K31" s="54">
        <f t="shared" si="0"/>
        <v>0</v>
      </c>
      <c r="L31" s="61"/>
    </row>
    <row r="32" spans="1:12" s="3" customFormat="1" ht="19" x14ac:dyDescent="0.2">
      <c r="A32" s="18">
        <v>10</v>
      </c>
      <c r="B32" s="47" t="s">
        <v>42</v>
      </c>
      <c r="C32" s="54">
        <v>1</v>
      </c>
      <c r="D32" s="54">
        <v>3</v>
      </c>
      <c r="E32" s="54">
        <v>4</v>
      </c>
      <c r="F32" s="55" t="s">
        <v>43</v>
      </c>
      <c r="G32" s="55" t="s">
        <v>41</v>
      </c>
      <c r="H32" s="55" t="s">
        <v>177</v>
      </c>
      <c r="I32" s="57" t="s">
        <v>186</v>
      </c>
      <c r="J32" s="54"/>
      <c r="K32" s="54">
        <f t="shared" si="0"/>
        <v>0</v>
      </c>
      <c r="L32" s="56"/>
    </row>
    <row r="33" spans="1:12" s="3" customFormat="1" ht="19" x14ac:dyDescent="0.2">
      <c r="A33" s="18">
        <v>17</v>
      </c>
      <c r="B33" s="47" t="s">
        <v>54</v>
      </c>
      <c r="C33" s="54">
        <v>1</v>
      </c>
      <c r="D33" s="54">
        <v>3</v>
      </c>
      <c r="E33" s="54">
        <v>4</v>
      </c>
      <c r="F33" s="55" t="s">
        <v>43</v>
      </c>
      <c r="G33" s="55" t="s">
        <v>41</v>
      </c>
      <c r="H33" s="55" t="s">
        <v>56</v>
      </c>
      <c r="I33" s="57" t="s">
        <v>185</v>
      </c>
      <c r="J33" s="54"/>
      <c r="K33" s="54">
        <f t="shared" si="0"/>
        <v>0</v>
      </c>
      <c r="L33" s="56"/>
    </row>
    <row r="34" spans="1:12" s="3" customFormat="1" ht="19" x14ac:dyDescent="0.2">
      <c r="A34" s="18">
        <v>85</v>
      </c>
      <c r="B34" s="47" t="s">
        <v>195</v>
      </c>
      <c r="C34" s="54">
        <v>1</v>
      </c>
      <c r="D34" s="54">
        <v>2</v>
      </c>
      <c r="E34" s="54">
        <v>3</v>
      </c>
      <c r="F34" s="55" t="s">
        <v>43</v>
      </c>
      <c r="G34" s="55" t="s">
        <v>69</v>
      </c>
      <c r="H34" s="55" t="s">
        <v>70</v>
      </c>
      <c r="I34" s="54">
        <v>0</v>
      </c>
      <c r="J34" s="54"/>
      <c r="K34" s="54">
        <f t="shared" ref="K34:K65" si="1">J34*E34</f>
        <v>0</v>
      </c>
      <c r="L34" s="56"/>
    </row>
    <row r="35" spans="1:12" s="3" customFormat="1" ht="19" x14ac:dyDescent="0.2">
      <c r="A35" s="18">
        <v>88</v>
      </c>
      <c r="B35" s="47" t="s">
        <v>10</v>
      </c>
      <c r="C35" s="54">
        <v>1</v>
      </c>
      <c r="D35" s="54">
        <v>2</v>
      </c>
      <c r="E35" s="54">
        <v>4</v>
      </c>
      <c r="F35" s="55" t="s">
        <v>43</v>
      </c>
      <c r="G35" s="55" t="s">
        <v>58</v>
      </c>
      <c r="H35" s="55" t="s">
        <v>55</v>
      </c>
      <c r="I35" s="54">
        <v>0</v>
      </c>
      <c r="J35" s="54"/>
      <c r="K35" s="54">
        <f t="shared" si="1"/>
        <v>0</v>
      </c>
      <c r="L35" s="56"/>
    </row>
    <row r="36" spans="1:12" s="3" customFormat="1" ht="19" x14ac:dyDescent="0.2">
      <c r="A36" s="18">
        <v>92</v>
      </c>
      <c r="B36" s="47" t="s">
        <v>196</v>
      </c>
      <c r="C36" s="54">
        <v>1</v>
      </c>
      <c r="D36" s="54">
        <v>2</v>
      </c>
      <c r="E36" s="54">
        <v>3</v>
      </c>
      <c r="F36" s="55" t="s">
        <v>43</v>
      </c>
      <c r="G36" s="55" t="s">
        <v>58</v>
      </c>
      <c r="H36" s="55" t="s">
        <v>71</v>
      </c>
      <c r="I36" s="54">
        <v>0</v>
      </c>
      <c r="J36" s="54"/>
      <c r="K36" s="54">
        <f t="shared" si="1"/>
        <v>0</v>
      </c>
      <c r="L36" s="56"/>
    </row>
    <row r="37" spans="1:12" s="3" customFormat="1" ht="19" x14ac:dyDescent="0.2">
      <c r="A37" s="18">
        <v>4011</v>
      </c>
      <c r="B37" s="47" t="s">
        <v>16</v>
      </c>
      <c r="C37" s="54">
        <v>1</v>
      </c>
      <c r="D37" s="54">
        <v>4</v>
      </c>
      <c r="E37" s="54">
        <v>4</v>
      </c>
      <c r="F37" s="55" t="s">
        <v>43</v>
      </c>
      <c r="G37" s="55" t="s">
        <v>34</v>
      </c>
      <c r="H37" s="55" t="s">
        <v>197</v>
      </c>
      <c r="I37" s="54">
        <v>0</v>
      </c>
      <c r="J37" s="54"/>
      <c r="K37" s="54">
        <f t="shared" si="1"/>
        <v>0</v>
      </c>
      <c r="L37" s="56"/>
    </row>
    <row r="38" spans="1:12" s="3" customFormat="1" ht="19" x14ac:dyDescent="0.2">
      <c r="A38" s="18">
        <v>4012</v>
      </c>
      <c r="B38" s="47" t="s">
        <v>17</v>
      </c>
      <c r="C38" s="54">
        <v>1</v>
      </c>
      <c r="D38" s="54">
        <v>3</v>
      </c>
      <c r="E38" s="54">
        <v>4</v>
      </c>
      <c r="F38" s="55" t="s">
        <v>43</v>
      </c>
      <c r="G38" s="55" t="s">
        <v>58</v>
      </c>
      <c r="H38" s="55" t="s">
        <v>80</v>
      </c>
      <c r="I38" s="54">
        <v>0</v>
      </c>
      <c r="J38" s="54"/>
      <c r="K38" s="54">
        <f t="shared" si="1"/>
        <v>0</v>
      </c>
      <c r="L38" s="62"/>
    </row>
    <row r="39" spans="1:12" s="3" customFormat="1" ht="20" thickBot="1" x14ac:dyDescent="0.25">
      <c r="A39" s="18">
        <v>4031</v>
      </c>
      <c r="B39" s="49" t="s">
        <v>23</v>
      </c>
      <c r="C39" s="63">
        <v>1</v>
      </c>
      <c r="D39" s="63">
        <v>4</v>
      </c>
      <c r="E39" s="63">
        <v>3</v>
      </c>
      <c r="F39" s="64" t="s">
        <v>43</v>
      </c>
      <c r="G39" s="64" t="s">
        <v>69</v>
      </c>
      <c r="H39" s="64" t="s">
        <v>175</v>
      </c>
      <c r="I39" s="63">
        <v>0</v>
      </c>
      <c r="J39" s="63"/>
      <c r="K39" s="63">
        <f t="shared" si="1"/>
        <v>0</v>
      </c>
      <c r="L39" s="65"/>
    </row>
    <row r="40" spans="1:12" s="3" customFormat="1" ht="19" x14ac:dyDescent="0.2">
      <c r="A40" s="18">
        <v>22</v>
      </c>
      <c r="B40" s="46" t="s">
        <v>89</v>
      </c>
      <c r="C40" s="51">
        <v>2</v>
      </c>
      <c r="D40" s="51">
        <v>4</v>
      </c>
      <c r="E40" s="51">
        <v>4</v>
      </c>
      <c r="F40" s="52" t="s">
        <v>39</v>
      </c>
      <c r="G40" s="52" t="s">
        <v>41</v>
      </c>
      <c r="H40" s="52" t="s">
        <v>90</v>
      </c>
      <c r="I40" s="51" t="s">
        <v>189</v>
      </c>
      <c r="J40" s="51"/>
      <c r="K40" s="51">
        <f t="shared" si="1"/>
        <v>0</v>
      </c>
      <c r="L40" s="53"/>
    </row>
    <row r="41" spans="1:12" s="3" customFormat="1" ht="19" x14ac:dyDescent="0.2">
      <c r="A41" s="18">
        <v>24</v>
      </c>
      <c r="B41" s="47" t="s">
        <v>91</v>
      </c>
      <c r="C41" s="54">
        <v>2</v>
      </c>
      <c r="D41" s="54">
        <v>3</v>
      </c>
      <c r="E41" s="54">
        <v>2</v>
      </c>
      <c r="F41" s="55" t="s">
        <v>39</v>
      </c>
      <c r="G41" s="55" t="s">
        <v>41</v>
      </c>
      <c r="H41" s="55" t="s">
        <v>200</v>
      </c>
      <c r="I41" s="54">
        <v>0</v>
      </c>
      <c r="J41" s="54"/>
      <c r="K41" s="54">
        <f t="shared" si="1"/>
        <v>0</v>
      </c>
      <c r="L41" s="56"/>
    </row>
    <row r="42" spans="1:12" s="3" customFormat="1" ht="19" x14ac:dyDescent="0.2">
      <c r="A42" s="18">
        <v>29</v>
      </c>
      <c r="B42" s="47" t="s">
        <v>92</v>
      </c>
      <c r="C42" s="54">
        <v>2</v>
      </c>
      <c r="D42" s="54">
        <v>3</v>
      </c>
      <c r="E42" s="54">
        <v>4</v>
      </c>
      <c r="F42" s="55" t="s">
        <v>39</v>
      </c>
      <c r="G42" s="55" t="s">
        <v>41</v>
      </c>
      <c r="H42" s="55" t="s">
        <v>93</v>
      </c>
      <c r="I42" s="54" t="s">
        <v>181</v>
      </c>
      <c r="J42" s="54"/>
      <c r="K42" s="54">
        <f t="shared" si="1"/>
        <v>0</v>
      </c>
      <c r="L42" s="56"/>
    </row>
    <row r="43" spans="1:12" s="3" customFormat="1" ht="19" x14ac:dyDescent="0.2">
      <c r="A43" s="18">
        <v>76</v>
      </c>
      <c r="B43" s="47" t="s">
        <v>105</v>
      </c>
      <c r="C43" s="54">
        <v>2</v>
      </c>
      <c r="D43" s="54">
        <v>3</v>
      </c>
      <c r="E43" s="54">
        <v>3</v>
      </c>
      <c r="F43" s="55" t="s">
        <v>39</v>
      </c>
      <c r="G43" s="55" t="s">
        <v>34</v>
      </c>
      <c r="H43" s="55" t="s">
        <v>106</v>
      </c>
      <c r="I43" s="54" t="s">
        <v>180</v>
      </c>
      <c r="J43" s="54"/>
      <c r="K43" s="54">
        <f t="shared" si="1"/>
        <v>0</v>
      </c>
      <c r="L43" s="56"/>
    </row>
    <row r="44" spans="1:12" s="3" customFormat="1" ht="19" x14ac:dyDescent="0.2">
      <c r="A44" s="18">
        <v>82</v>
      </c>
      <c r="B44" s="47" t="s">
        <v>107</v>
      </c>
      <c r="C44" s="54">
        <v>2</v>
      </c>
      <c r="D44" s="54">
        <v>4</v>
      </c>
      <c r="E44" s="54">
        <v>3</v>
      </c>
      <c r="F44" s="55" t="s">
        <v>39</v>
      </c>
      <c r="G44" s="55" t="s">
        <v>41</v>
      </c>
      <c r="H44" s="55" t="s">
        <v>108</v>
      </c>
      <c r="I44" s="54">
        <v>0</v>
      </c>
      <c r="J44" s="54"/>
      <c r="K44" s="54">
        <f t="shared" si="1"/>
        <v>0</v>
      </c>
      <c r="L44" s="56"/>
    </row>
    <row r="45" spans="1:12" s="3" customFormat="1" ht="19" x14ac:dyDescent="0.2">
      <c r="A45" s="18">
        <v>96</v>
      </c>
      <c r="B45" s="47" t="s">
        <v>115</v>
      </c>
      <c r="C45" s="54">
        <v>2</v>
      </c>
      <c r="D45" s="54">
        <v>3</v>
      </c>
      <c r="E45" s="54">
        <v>3</v>
      </c>
      <c r="F45" s="55" t="s">
        <v>39</v>
      </c>
      <c r="G45" s="55" t="s">
        <v>34</v>
      </c>
      <c r="H45" s="55" t="s">
        <v>116</v>
      </c>
      <c r="I45" s="54">
        <v>0</v>
      </c>
      <c r="J45" s="54"/>
      <c r="K45" s="54">
        <f t="shared" si="1"/>
        <v>0</v>
      </c>
      <c r="L45" s="56"/>
    </row>
    <row r="46" spans="1:12" s="3" customFormat="1" ht="19" x14ac:dyDescent="0.2">
      <c r="A46" s="18">
        <v>84</v>
      </c>
      <c r="B46" s="47" t="s">
        <v>147</v>
      </c>
      <c r="C46" s="54">
        <v>2</v>
      </c>
      <c r="D46" s="54">
        <v>3</v>
      </c>
      <c r="E46" s="54">
        <v>4</v>
      </c>
      <c r="F46" s="55" t="s">
        <v>39</v>
      </c>
      <c r="G46" s="55" t="s">
        <v>58</v>
      </c>
      <c r="H46" s="55" t="s">
        <v>148</v>
      </c>
      <c r="I46" s="54">
        <v>0</v>
      </c>
      <c r="J46" s="54"/>
      <c r="K46" s="54">
        <f t="shared" si="1"/>
        <v>0</v>
      </c>
      <c r="L46" s="56"/>
    </row>
    <row r="47" spans="1:12" s="3" customFormat="1" ht="19" x14ac:dyDescent="0.2">
      <c r="A47" s="18">
        <v>107</v>
      </c>
      <c r="B47" s="47" t="s">
        <v>12</v>
      </c>
      <c r="C47" s="54">
        <v>2</v>
      </c>
      <c r="D47" s="54">
        <v>2</v>
      </c>
      <c r="E47" s="54">
        <v>4</v>
      </c>
      <c r="F47" s="55" t="s">
        <v>29</v>
      </c>
      <c r="G47" s="55" t="s">
        <v>73</v>
      </c>
      <c r="H47" s="55" t="s">
        <v>77</v>
      </c>
      <c r="I47" s="54">
        <v>0</v>
      </c>
      <c r="J47" s="54"/>
      <c r="K47" s="54">
        <f t="shared" si="1"/>
        <v>0</v>
      </c>
      <c r="L47" s="56"/>
    </row>
    <row r="48" spans="1:12" s="3" customFormat="1" ht="19" x14ac:dyDescent="0.2">
      <c r="A48" s="18">
        <v>4014</v>
      </c>
      <c r="B48" s="47" t="s">
        <v>19</v>
      </c>
      <c r="C48" s="54">
        <v>2</v>
      </c>
      <c r="D48" s="54">
        <v>4</v>
      </c>
      <c r="E48" s="54">
        <v>4</v>
      </c>
      <c r="F48" s="55" t="s">
        <v>29</v>
      </c>
      <c r="G48" s="55" t="s">
        <v>32</v>
      </c>
      <c r="H48" s="55" t="s">
        <v>82</v>
      </c>
      <c r="I48" s="54">
        <v>0</v>
      </c>
      <c r="J48" s="54"/>
      <c r="K48" s="54">
        <f t="shared" si="1"/>
        <v>0</v>
      </c>
      <c r="L48" s="56"/>
    </row>
    <row r="49" spans="1:94" s="3" customFormat="1" ht="19" x14ac:dyDescent="0.2">
      <c r="A49" s="18">
        <v>3</v>
      </c>
      <c r="B49" s="47" t="s">
        <v>35</v>
      </c>
      <c r="C49" s="54">
        <v>2</v>
      </c>
      <c r="D49" s="54">
        <v>4</v>
      </c>
      <c r="E49" s="54">
        <v>5</v>
      </c>
      <c r="F49" s="55" t="s">
        <v>29</v>
      </c>
      <c r="G49" s="55" t="s">
        <v>34</v>
      </c>
      <c r="H49" s="55" t="s">
        <v>47</v>
      </c>
      <c r="I49" s="54">
        <v>0</v>
      </c>
      <c r="J49" s="54"/>
      <c r="K49" s="54">
        <f t="shared" si="1"/>
        <v>0</v>
      </c>
      <c r="L49" s="56"/>
    </row>
    <row r="50" spans="1:94" s="11" customFormat="1" ht="19" x14ac:dyDescent="0.2">
      <c r="A50" s="18">
        <v>27</v>
      </c>
      <c r="B50" s="47" t="s">
        <v>202</v>
      </c>
      <c r="C50" s="54">
        <v>2</v>
      </c>
      <c r="D50" s="54">
        <v>4</v>
      </c>
      <c r="E50" s="54">
        <v>3</v>
      </c>
      <c r="F50" s="55" t="s">
        <v>29</v>
      </c>
      <c r="G50" s="55" t="s">
        <v>41</v>
      </c>
      <c r="H50" s="55" t="s">
        <v>203</v>
      </c>
      <c r="I50" s="54">
        <v>0</v>
      </c>
      <c r="J50" s="54"/>
      <c r="K50" s="54">
        <f t="shared" si="1"/>
        <v>0</v>
      </c>
      <c r="L50" s="56" t="s">
        <v>201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</row>
    <row r="51" spans="1:94" s="12" customFormat="1" ht="19" x14ac:dyDescent="0.2">
      <c r="A51" s="18">
        <v>39</v>
      </c>
      <c r="B51" s="47" t="s">
        <v>99</v>
      </c>
      <c r="C51" s="54">
        <v>2</v>
      </c>
      <c r="D51" s="54">
        <v>3</v>
      </c>
      <c r="E51" s="54">
        <v>5</v>
      </c>
      <c r="F51" s="55" t="s">
        <v>29</v>
      </c>
      <c r="G51" s="55" t="s">
        <v>34</v>
      </c>
      <c r="H51" s="55" t="s">
        <v>100</v>
      </c>
      <c r="I51" s="54" t="s">
        <v>181</v>
      </c>
      <c r="J51" s="54"/>
      <c r="K51" s="54">
        <f t="shared" si="1"/>
        <v>0</v>
      </c>
      <c r="L51" s="5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</row>
    <row r="52" spans="1:94" s="12" customFormat="1" ht="19" x14ac:dyDescent="0.2">
      <c r="A52" s="18">
        <v>108</v>
      </c>
      <c r="B52" s="47" t="s">
        <v>123</v>
      </c>
      <c r="C52" s="54">
        <v>2</v>
      </c>
      <c r="D52" s="54">
        <v>3</v>
      </c>
      <c r="E52" s="54">
        <v>3</v>
      </c>
      <c r="F52" s="55" t="s">
        <v>29</v>
      </c>
      <c r="G52" s="55" t="s">
        <v>73</v>
      </c>
      <c r="H52" s="55" t="s">
        <v>124</v>
      </c>
      <c r="I52" s="54">
        <v>0</v>
      </c>
      <c r="J52" s="54"/>
      <c r="K52" s="54">
        <f t="shared" si="1"/>
        <v>0</v>
      </c>
      <c r="L52" s="5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</row>
    <row r="53" spans="1:94" s="3" customFormat="1" ht="19" x14ac:dyDescent="0.2">
      <c r="A53" s="18">
        <v>109</v>
      </c>
      <c r="B53" s="47" t="s">
        <v>125</v>
      </c>
      <c r="C53" s="54">
        <v>2</v>
      </c>
      <c r="D53" s="54">
        <v>3</v>
      </c>
      <c r="E53" s="54">
        <v>3</v>
      </c>
      <c r="F53" s="55" t="s">
        <v>29</v>
      </c>
      <c r="G53" s="55" t="s">
        <v>73</v>
      </c>
      <c r="H53" s="55" t="s">
        <v>126</v>
      </c>
      <c r="I53" s="54">
        <v>0</v>
      </c>
      <c r="J53" s="54"/>
      <c r="K53" s="54">
        <f t="shared" si="1"/>
        <v>0</v>
      </c>
      <c r="L53" s="56"/>
    </row>
    <row r="54" spans="1:94" s="3" customFormat="1" ht="19" x14ac:dyDescent="0.2">
      <c r="A54" s="18">
        <v>111</v>
      </c>
      <c r="B54" s="47" t="s">
        <v>74</v>
      </c>
      <c r="C54" s="54">
        <v>2</v>
      </c>
      <c r="D54" s="54">
        <v>3</v>
      </c>
      <c r="E54" s="54">
        <v>3</v>
      </c>
      <c r="F54" s="55" t="s">
        <v>29</v>
      </c>
      <c r="G54" s="55" t="s">
        <v>73</v>
      </c>
      <c r="H54" s="55" t="s">
        <v>75</v>
      </c>
      <c r="I54" s="54">
        <v>0</v>
      </c>
      <c r="J54" s="54"/>
      <c r="K54" s="54">
        <f t="shared" si="1"/>
        <v>0</v>
      </c>
      <c r="L54" s="56"/>
    </row>
    <row r="55" spans="1:94" s="3" customFormat="1" ht="19" x14ac:dyDescent="0.2">
      <c r="A55" s="18">
        <v>4002</v>
      </c>
      <c r="B55" s="47" t="s">
        <v>127</v>
      </c>
      <c r="C55" s="54">
        <v>2</v>
      </c>
      <c r="D55" s="54">
        <v>3</v>
      </c>
      <c r="E55" s="54">
        <v>3</v>
      </c>
      <c r="F55" s="55" t="s">
        <v>29</v>
      </c>
      <c r="G55" s="55" t="s">
        <v>73</v>
      </c>
      <c r="H55" s="55" t="s">
        <v>128</v>
      </c>
      <c r="I55" s="54">
        <v>0</v>
      </c>
      <c r="J55" s="54"/>
      <c r="K55" s="54">
        <f t="shared" si="1"/>
        <v>0</v>
      </c>
      <c r="L55" s="56"/>
    </row>
    <row r="56" spans="1:94" s="9" customFormat="1" ht="19" x14ac:dyDescent="0.2">
      <c r="A56" s="18">
        <v>4039</v>
      </c>
      <c r="B56" s="47" t="s">
        <v>135</v>
      </c>
      <c r="C56" s="54">
        <v>2</v>
      </c>
      <c r="D56" s="54">
        <v>1</v>
      </c>
      <c r="E56" s="54">
        <v>4</v>
      </c>
      <c r="F56" s="55" t="s">
        <v>29</v>
      </c>
      <c r="G56" s="55" t="s">
        <v>41</v>
      </c>
      <c r="H56" s="55" t="s">
        <v>136</v>
      </c>
      <c r="I56" s="54">
        <v>0</v>
      </c>
      <c r="J56" s="54"/>
      <c r="K56" s="54">
        <f t="shared" si="1"/>
        <v>0</v>
      </c>
      <c r="L56" s="5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</row>
    <row r="57" spans="1:94" s="9" customFormat="1" ht="20" customHeight="1" x14ac:dyDescent="0.2">
      <c r="A57" s="18">
        <v>4004</v>
      </c>
      <c r="B57" s="47" t="s">
        <v>163</v>
      </c>
      <c r="C57" s="54">
        <v>2</v>
      </c>
      <c r="D57" s="54">
        <v>2</v>
      </c>
      <c r="E57" s="54">
        <v>4</v>
      </c>
      <c r="F57" s="55" t="s">
        <v>29</v>
      </c>
      <c r="G57" s="55" t="s">
        <v>41</v>
      </c>
      <c r="H57" s="55" t="s">
        <v>164</v>
      </c>
      <c r="I57" s="57" t="s">
        <v>190</v>
      </c>
      <c r="J57" s="54"/>
      <c r="K57" s="54">
        <f t="shared" si="1"/>
        <v>0</v>
      </c>
      <c r="L57" s="5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</row>
    <row r="58" spans="1:94" s="9" customFormat="1" ht="21" customHeight="1" x14ac:dyDescent="0.2">
      <c r="A58" s="18">
        <v>36</v>
      </c>
      <c r="B58" s="47" t="s">
        <v>143</v>
      </c>
      <c r="C58" s="54">
        <v>2</v>
      </c>
      <c r="D58" s="54">
        <v>4</v>
      </c>
      <c r="E58" s="54">
        <v>4</v>
      </c>
      <c r="F58" s="55" t="s">
        <v>29</v>
      </c>
      <c r="G58" s="55" t="s">
        <v>73</v>
      </c>
      <c r="H58" s="55" t="s">
        <v>68</v>
      </c>
      <c r="I58" s="57">
        <v>0</v>
      </c>
      <c r="J58" s="54"/>
      <c r="K58" s="54">
        <f t="shared" si="1"/>
        <v>0</v>
      </c>
      <c r="L58" s="5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</row>
    <row r="59" spans="1:94" s="3" customFormat="1" ht="19" x14ac:dyDescent="0.2">
      <c r="A59" s="18">
        <v>14</v>
      </c>
      <c r="B59" s="47" t="s">
        <v>44</v>
      </c>
      <c r="C59" s="54">
        <v>2</v>
      </c>
      <c r="D59" s="54">
        <v>3</v>
      </c>
      <c r="E59" s="54">
        <v>3</v>
      </c>
      <c r="F59" s="55" t="s">
        <v>43</v>
      </c>
      <c r="G59" s="55" t="s">
        <v>34</v>
      </c>
      <c r="H59" s="55" t="s">
        <v>51</v>
      </c>
      <c r="I59" s="54">
        <v>0</v>
      </c>
      <c r="J59" s="54"/>
      <c r="K59" s="54">
        <f t="shared" si="1"/>
        <v>0</v>
      </c>
      <c r="L59" s="56"/>
    </row>
    <row r="60" spans="1:94" s="3" customFormat="1" ht="19" x14ac:dyDescent="0.2">
      <c r="A60" s="18">
        <v>15</v>
      </c>
      <c r="B60" s="47" t="s">
        <v>45</v>
      </c>
      <c r="C60" s="54">
        <v>2</v>
      </c>
      <c r="D60" s="54">
        <v>4</v>
      </c>
      <c r="E60" s="54">
        <v>5</v>
      </c>
      <c r="F60" s="55" t="s">
        <v>43</v>
      </c>
      <c r="G60" s="55" t="s">
        <v>41</v>
      </c>
      <c r="H60" s="55" t="s">
        <v>52</v>
      </c>
      <c r="I60" s="54" t="s">
        <v>180</v>
      </c>
      <c r="J60" s="54"/>
      <c r="K60" s="54">
        <f t="shared" si="1"/>
        <v>0</v>
      </c>
      <c r="L60" s="56"/>
    </row>
    <row r="61" spans="1:94" s="3" customFormat="1" ht="19" x14ac:dyDescent="0.2">
      <c r="A61" s="18">
        <v>72</v>
      </c>
      <c r="B61" s="47" t="s">
        <v>101</v>
      </c>
      <c r="C61" s="54">
        <v>2</v>
      </c>
      <c r="D61" s="54">
        <v>3</v>
      </c>
      <c r="E61" s="54">
        <v>3</v>
      </c>
      <c r="F61" s="55" t="s">
        <v>43</v>
      </c>
      <c r="G61" s="55" t="s">
        <v>41</v>
      </c>
      <c r="H61" s="55" t="s">
        <v>102</v>
      </c>
      <c r="I61" s="54">
        <v>0</v>
      </c>
      <c r="J61" s="54"/>
      <c r="K61" s="54">
        <f t="shared" si="1"/>
        <v>0</v>
      </c>
      <c r="L61" s="56"/>
    </row>
    <row r="62" spans="1:94" s="3" customFormat="1" ht="19" x14ac:dyDescent="0.2">
      <c r="A62" s="18">
        <v>75</v>
      </c>
      <c r="B62" s="47" t="s">
        <v>103</v>
      </c>
      <c r="C62" s="54">
        <v>2</v>
      </c>
      <c r="D62" s="54">
        <v>3</v>
      </c>
      <c r="E62" s="54">
        <v>3</v>
      </c>
      <c r="F62" s="55" t="s">
        <v>43</v>
      </c>
      <c r="G62" s="55" t="s">
        <v>41</v>
      </c>
      <c r="H62" s="55" t="s">
        <v>104</v>
      </c>
      <c r="I62" s="54">
        <v>0</v>
      </c>
      <c r="J62" s="54"/>
      <c r="K62" s="54">
        <f t="shared" si="1"/>
        <v>0</v>
      </c>
      <c r="L62" s="56"/>
    </row>
    <row r="63" spans="1:94" s="10" customFormat="1" ht="19" x14ac:dyDescent="0.2">
      <c r="A63" s="18">
        <v>97</v>
      </c>
      <c r="B63" s="47" t="s">
        <v>117</v>
      </c>
      <c r="C63" s="54">
        <v>2</v>
      </c>
      <c r="D63" s="54">
        <v>3</v>
      </c>
      <c r="E63" s="54">
        <v>4</v>
      </c>
      <c r="F63" s="55" t="s">
        <v>43</v>
      </c>
      <c r="G63" s="55" t="s">
        <v>58</v>
      </c>
      <c r="H63" s="55" t="s">
        <v>118</v>
      </c>
      <c r="I63" s="54" t="s">
        <v>180</v>
      </c>
      <c r="J63" s="54"/>
      <c r="K63" s="54">
        <f t="shared" si="1"/>
        <v>0</v>
      </c>
      <c r="L63" s="5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</row>
    <row r="64" spans="1:94" s="3" customFormat="1" ht="19" x14ac:dyDescent="0.2">
      <c r="A64" s="18">
        <v>103</v>
      </c>
      <c r="B64" s="47" t="s">
        <v>121</v>
      </c>
      <c r="C64" s="54">
        <v>2</v>
      </c>
      <c r="D64" s="54">
        <v>2</v>
      </c>
      <c r="E64" s="54">
        <v>3</v>
      </c>
      <c r="F64" s="55" t="s">
        <v>43</v>
      </c>
      <c r="G64" s="55" t="s">
        <v>58</v>
      </c>
      <c r="H64" s="55" t="s">
        <v>122</v>
      </c>
      <c r="I64" s="54">
        <v>0</v>
      </c>
      <c r="J64" s="54"/>
      <c r="K64" s="54">
        <f t="shared" si="1"/>
        <v>0</v>
      </c>
      <c r="L64" s="56"/>
    </row>
    <row r="65" spans="1:94" s="3" customFormat="1" ht="19" x14ac:dyDescent="0.2">
      <c r="A65" s="18">
        <v>4016</v>
      </c>
      <c r="B65" s="47" t="s">
        <v>131</v>
      </c>
      <c r="C65" s="54">
        <v>2</v>
      </c>
      <c r="D65" s="54">
        <v>3</v>
      </c>
      <c r="E65" s="54">
        <v>3</v>
      </c>
      <c r="F65" s="55" t="s">
        <v>43</v>
      </c>
      <c r="G65" s="55" t="s">
        <v>34</v>
      </c>
      <c r="H65" s="55" t="s">
        <v>132</v>
      </c>
      <c r="I65" s="54" t="s">
        <v>180</v>
      </c>
      <c r="J65" s="54"/>
      <c r="K65" s="54">
        <f t="shared" si="1"/>
        <v>0</v>
      </c>
      <c r="L65" s="56"/>
    </row>
    <row r="66" spans="1:94" s="3" customFormat="1" ht="20" thickBot="1" x14ac:dyDescent="0.25">
      <c r="A66" s="18">
        <v>4021</v>
      </c>
      <c r="B66" s="49" t="s">
        <v>133</v>
      </c>
      <c r="C66" s="63">
        <v>2</v>
      </c>
      <c r="D66" s="63">
        <v>3</v>
      </c>
      <c r="E66" s="63">
        <v>4</v>
      </c>
      <c r="F66" s="64" t="s">
        <v>43</v>
      </c>
      <c r="G66" s="64" t="s">
        <v>34</v>
      </c>
      <c r="H66" s="64" t="s">
        <v>134</v>
      </c>
      <c r="I66" s="63">
        <v>0</v>
      </c>
      <c r="J66" s="63"/>
      <c r="K66" s="63">
        <f t="shared" ref="K66:K97" si="2">J66*E66</f>
        <v>0</v>
      </c>
      <c r="L66" s="65"/>
    </row>
    <row r="67" spans="1:94" s="3" customFormat="1" ht="19" x14ac:dyDescent="0.2">
      <c r="A67" s="18">
        <v>25</v>
      </c>
      <c r="B67" s="46" t="s">
        <v>137</v>
      </c>
      <c r="C67" s="51">
        <v>3</v>
      </c>
      <c r="D67" s="51">
        <v>3</v>
      </c>
      <c r="E67" s="51">
        <v>2</v>
      </c>
      <c r="F67" s="52" t="s">
        <v>39</v>
      </c>
      <c r="G67" s="52" t="s">
        <v>41</v>
      </c>
      <c r="H67" s="52" t="s">
        <v>138</v>
      </c>
      <c r="I67" s="51" t="s">
        <v>180</v>
      </c>
      <c r="J67" s="51"/>
      <c r="K67" s="51">
        <f t="shared" si="2"/>
        <v>0</v>
      </c>
      <c r="L67" s="53"/>
    </row>
    <row r="68" spans="1:94" s="3" customFormat="1" ht="19" x14ac:dyDescent="0.2">
      <c r="A68" s="18">
        <v>26</v>
      </c>
      <c r="B68" s="47" t="s">
        <v>139</v>
      </c>
      <c r="C68" s="54">
        <v>3</v>
      </c>
      <c r="D68" s="54">
        <v>3</v>
      </c>
      <c r="E68" s="54">
        <v>2</v>
      </c>
      <c r="F68" s="55" t="s">
        <v>39</v>
      </c>
      <c r="G68" s="55" t="s">
        <v>41</v>
      </c>
      <c r="H68" s="55" t="s">
        <v>140</v>
      </c>
      <c r="I68" s="57">
        <v>0</v>
      </c>
      <c r="J68" s="54"/>
      <c r="K68" s="54">
        <f t="shared" si="2"/>
        <v>0</v>
      </c>
      <c r="L68" s="56"/>
    </row>
    <row r="69" spans="1:94" s="3" customFormat="1" ht="19" x14ac:dyDescent="0.2">
      <c r="A69" s="18">
        <v>78</v>
      </c>
      <c r="B69" s="47" t="s">
        <v>146</v>
      </c>
      <c r="C69" s="54">
        <v>3</v>
      </c>
      <c r="D69" s="54">
        <v>3</v>
      </c>
      <c r="E69" s="54">
        <v>4</v>
      </c>
      <c r="F69" s="55" t="s">
        <v>39</v>
      </c>
      <c r="G69" s="55" t="s">
        <v>41</v>
      </c>
      <c r="H69" s="55" t="s">
        <v>41</v>
      </c>
      <c r="I69" s="54">
        <v>0</v>
      </c>
      <c r="J69" s="54"/>
      <c r="K69" s="54">
        <f t="shared" si="2"/>
        <v>0</v>
      </c>
      <c r="L69" s="56"/>
    </row>
    <row r="70" spans="1:94" s="3" customFormat="1" ht="19" x14ac:dyDescent="0.2">
      <c r="A70" s="18">
        <v>4</v>
      </c>
      <c r="B70" s="47" t="s">
        <v>36</v>
      </c>
      <c r="C70" s="54">
        <v>3</v>
      </c>
      <c r="D70" s="54">
        <v>3</v>
      </c>
      <c r="E70" s="54">
        <v>3</v>
      </c>
      <c r="F70" s="55" t="s">
        <v>29</v>
      </c>
      <c r="G70" s="55" t="s">
        <v>32</v>
      </c>
      <c r="H70" s="55" t="s">
        <v>48</v>
      </c>
      <c r="I70" s="57" t="s">
        <v>190</v>
      </c>
      <c r="J70" s="54"/>
      <c r="K70" s="54">
        <f t="shared" si="2"/>
        <v>0</v>
      </c>
      <c r="L70" s="56"/>
    </row>
    <row r="71" spans="1:94" s="3" customFormat="1" ht="19" x14ac:dyDescent="0.2">
      <c r="A71" s="18">
        <v>35</v>
      </c>
      <c r="B71" s="47" t="s">
        <v>141</v>
      </c>
      <c r="C71" s="54">
        <v>3</v>
      </c>
      <c r="D71" s="54">
        <v>4</v>
      </c>
      <c r="E71" s="54">
        <v>4</v>
      </c>
      <c r="F71" s="55" t="s">
        <v>29</v>
      </c>
      <c r="G71" s="55" t="s">
        <v>73</v>
      </c>
      <c r="H71" s="55" t="s">
        <v>142</v>
      </c>
      <c r="I71" s="54" t="s">
        <v>184</v>
      </c>
      <c r="J71" s="54"/>
      <c r="K71" s="54">
        <f t="shared" si="2"/>
        <v>0</v>
      </c>
      <c r="L71" s="56"/>
    </row>
    <row r="72" spans="1:94" s="3" customFormat="1" ht="19" x14ac:dyDescent="0.2">
      <c r="A72" s="18">
        <v>46</v>
      </c>
      <c r="B72" s="47" t="s">
        <v>144</v>
      </c>
      <c r="C72" s="54">
        <v>3</v>
      </c>
      <c r="D72" s="54">
        <v>3</v>
      </c>
      <c r="E72" s="54">
        <v>2</v>
      </c>
      <c r="F72" s="55" t="s">
        <v>29</v>
      </c>
      <c r="G72" s="55" t="s">
        <v>41</v>
      </c>
      <c r="H72" s="55" t="s">
        <v>145</v>
      </c>
      <c r="I72" s="54">
        <v>0</v>
      </c>
      <c r="J72" s="54"/>
      <c r="K72" s="54">
        <f t="shared" si="2"/>
        <v>0</v>
      </c>
      <c r="L72" s="56"/>
    </row>
    <row r="73" spans="1:94" s="3" customFormat="1" ht="19" x14ac:dyDescent="0.2">
      <c r="A73" s="18">
        <v>113</v>
      </c>
      <c r="B73" s="47" t="s">
        <v>157</v>
      </c>
      <c r="C73" s="54">
        <v>3</v>
      </c>
      <c r="D73" s="54">
        <v>3</v>
      </c>
      <c r="E73" s="54">
        <v>3</v>
      </c>
      <c r="F73" s="55" t="s">
        <v>29</v>
      </c>
      <c r="G73" s="55" t="s">
        <v>73</v>
      </c>
      <c r="H73" s="55" t="s">
        <v>158</v>
      </c>
      <c r="I73" s="54">
        <v>0</v>
      </c>
      <c r="J73" s="54"/>
      <c r="K73" s="54">
        <f t="shared" si="2"/>
        <v>0</v>
      </c>
      <c r="L73" s="56"/>
    </row>
    <row r="74" spans="1:94" s="3" customFormat="1" ht="19" x14ac:dyDescent="0.2">
      <c r="A74" s="18">
        <v>114</v>
      </c>
      <c r="B74" s="47" t="s">
        <v>159</v>
      </c>
      <c r="C74" s="54">
        <v>3</v>
      </c>
      <c r="D74" s="54">
        <v>2</v>
      </c>
      <c r="E74" s="54">
        <v>3</v>
      </c>
      <c r="F74" s="55" t="s">
        <v>29</v>
      </c>
      <c r="G74" s="55" t="s">
        <v>73</v>
      </c>
      <c r="H74" s="55" t="s">
        <v>160</v>
      </c>
      <c r="I74" s="54">
        <v>0</v>
      </c>
      <c r="J74" s="54"/>
      <c r="K74" s="54">
        <f t="shared" si="2"/>
        <v>0</v>
      </c>
      <c r="L74" s="56"/>
    </row>
    <row r="75" spans="1:94" s="3" customFormat="1" ht="19" x14ac:dyDescent="0.2">
      <c r="A75" s="18">
        <v>4003</v>
      </c>
      <c r="B75" s="47" t="s">
        <v>161</v>
      </c>
      <c r="C75" s="54">
        <v>3</v>
      </c>
      <c r="D75" s="54">
        <v>3</v>
      </c>
      <c r="E75" s="54">
        <v>4</v>
      </c>
      <c r="F75" s="55" t="s">
        <v>29</v>
      </c>
      <c r="G75" s="55" t="s">
        <v>73</v>
      </c>
      <c r="H75" s="55" t="s">
        <v>162</v>
      </c>
      <c r="I75" s="54">
        <v>0</v>
      </c>
      <c r="J75" s="54"/>
      <c r="K75" s="54">
        <f t="shared" si="2"/>
        <v>0</v>
      </c>
      <c r="L75" s="56"/>
    </row>
    <row r="76" spans="1:94" s="9" customFormat="1" ht="19" x14ac:dyDescent="0.2">
      <c r="A76" s="18">
        <v>4005</v>
      </c>
      <c r="B76" s="47" t="s">
        <v>165</v>
      </c>
      <c r="C76" s="54">
        <v>3</v>
      </c>
      <c r="D76" s="54">
        <v>3</v>
      </c>
      <c r="E76" s="54">
        <v>5</v>
      </c>
      <c r="F76" s="55" t="s">
        <v>29</v>
      </c>
      <c r="G76" s="55" t="s">
        <v>41</v>
      </c>
      <c r="H76" s="55" t="s">
        <v>166</v>
      </c>
      <c r="I76" s="57" t="s">
        <v>188</v>
      </c>
      <c r="J76" s="54"/>
      <c r="K76" s="54">
        <f t="shared" si="2"/>
        <v>0</v>
      </c>
      <c r="L76" s="5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</row>
    <row r="77" spans="1:94" s="3" customFormat="1" ht="17" customHeight="1" x14ac:dyDescent="0.2">
      <c r="A77" s="18">
        <v>114</v>
      </c>
      <c r="B77" s="47" t="s">
        <v>159</v>
      </c>
      <c r="C77" s="54">
        <v>3</v>
      </c>
      <c r="D77" s="54">
        <v>2</v>
      </c>
      <c r="E77" s="54">
        <v>3</v>
      </c>
      <c r="F77" s="55" t="s">
        <v>29</v>
      </c>
      <c r="G77" s="55" t="s">
        <v>73</v>
      </c>
      <c r="H77" s="55" t="s">
        <v>160</v>
      </c>
      <c r="I77" s="54">
        <v>0</v>
      </c>
      <c r="J77" s="54"/>
      <c r="K77" s="54">
        <f t="shared" si="2"/>
        <v>0</v>
      </c>
      <c r="L77" s="61"/>
    </row>
    <row r="78" spans="1:94" s="3" customFormat="1" ht="19" x14ac:dyDescent="0.2">
      <c r="A78" s="18">
        <v>94</v>
      </c>
      <c r="B78" s="47" t="s">
        <v>11</v>
      </c>
      <c r="C78" s="54">
        <v>3</v>
      </c>
      <c r="D78" s="54">
        <v>3</v>
      </c>
      <c r="E78" s="54">
        <v>4</v>
      </c>
      <c r="F78" s="55" t="s">
        <v>43</v>
      </c>
      <c r="G78" s="55" t="s">
        <v>58</v>
      </c>
      <c r="H78" s="55" t="s">
        <v>72</v>
      </c>
      <c r="I78" s="54">
        <v>1</v>
      </c>
      <c r="J78" s="54"/>
      <c r="K78" s="54">
        <f t="shared" si="2"/>
        <v>0</v>
      </c>
      <c r="L78" s="56"/>
    </row>
    <row r="79" spans="1:94" s="3" customFormat="1" ht="19" x14ac:dyDescent="0.2">
      <c r="A79" s="18">
        <v>104</v>
      </c>
      <c r="B79" s="47" t="s">
        <v>153</v>
      </c>
      <c r="C79" s="54">
        <v>3</v>
      </c>
      <c r="D79" s="54">
        <v>2</v>
      </c>
      <c r="E79" s="54">
        <v>3</v>
      </c>
      <c r="F79" s="55" t="s">
        <v>43</v>
      </c>
      <c r="G79" s="55" t="s">
        <v>58</v>
      </c>
      <c r="H79" s="55" t="s">
        <v>154</v>
      </c>
      <c r="I79" s="54">
        <v>0</v>
      </c>
      <c r="J79" s="54"/>
      <c r="K79" s="54">
        <f t="shared" si="2"/>
        <v>0</v>
      </c>
      <c r="L79" s="56"/>
    </row>
    <row r="80" spans="1:94" s="3" customFormat="1" ht="17" customHeight="1" x14ac:dyDescent="0.2">
      <c r="A80" s="18">
        <v>105</v>
      </c>
      <c r="B80" s="47" t="s">
        <v>155</v>
      </c>
      <c r="C80" s="54">
        <v>3</v>
      </c>
      <c r="D80" s="54">
        <v>2</v>
      </c>
      <c r="E80" s="54">
        <v>3</v>
      </c>
      <c r="F80" s="55" t="s">
        <v>43</v>
      </c>
      <c r="G80" s="55" t="s">
        <v>58</v>
      </c>
      <c r="H80" s="55" t="s">
        <v>156</v>
      </c>
      <c r="I80" s="54">
        <v>0</v>
      </c>
      <c r="J80" s="54"/>
      <c r="K80" s="54">
        <f t="shared" si="2"/>
        <v>0</v>
      </c>
      <c r="L80" s="56"/>
    </row>
    <row r="81" spans="1:12" s="3" customFormat="1" ht="19" x14ac:dyDescent="0.2">
      <c r="A81" s="18">
        <v>4032</v>
      </c>
      <c r="B81" s="47" t="s">
        <v>167</v>
      </c>
      <c r="C81" s="54">
        <v>3</v>
      </c>
      <c r="D81" s="54">
        <v>2</v>
      </c>
      <c r="E81" s="54">
        <v>2</v>
      </c>
      <c r="F81" s="55" t="s">
        <v>43</v>
      </c>
      <c r="G81" s="55" t="s">
        <v>34</v>
      </c>
      <c r="H81" s="55" t="s">
        <v>168</v>
      </c>
      <c r="I81" s="54">
        <v>0</v>
      </c>
      <c r="J81" s="54"/>
      <c r="K81" s="54">
        <f t="shared" si="2"/>
        <v>0</v>
      </c>
      <c r="L81" s="56"/>
    </row>
    <row r="82" spans="1:12" s="3" customFormat="1" ht="19" x14ac:dyDescent="0.2">
      <c r="A82" s="18">
        <v>4034</v>
      </c>
      <c r="B82" s="47" t="s">
        <v>169</v>
      </c>
      <c r="C82" s="54">
        <v>3</v>
      </c>
      <c r="D82" s="54">
        <v>3</v>
      </c>
      <c r="E82" s="54">
        <v>2</v>
      </c>
      <c r="F82" s="55" t="s">
        <v>43</v>
      </c>
      <c r="G82" s="55" t="s">
        <v>58</v>
      </c>
      <c r="H82" s="55" t="s">
        <v>170</v>
      </c>
      <c r="I82" s="54" t="s">
        <v>180</v>
      </c>
      <c r="J82" s="54"/>
      <c r="K82" s="54">
        <f t="shared" si="2"/>
        <v>0</v>
      </c>
      <c r="L82" s="56"/>
    </row>
    <row r="83" spans="1:12" s="3" customFormat="1" ht="20" thickBot="1" x14ac:dyDescent="0.25">
      <c r="A83" s="18">
        <v>16</v>
      </c>
      <c r="B83" s="50" t="s">
        <v>53</v>
      </c>
      <c r="C83" s="66">
        <v>3</v>
      </c>
      <c r="D83" s="66">
        <v>3</v>
      </c>
      <c r="E83" s="66">
        <v>3</v>
      </c>
      <c r="F83" s="67" t="s">
        <v>43</v>
      </c>
      <c r="G83" s="67" t="s">
        <v>41</v>
      </c>
      <c r="H83" s="67" t="s">
        <v>191</v>
      </c>
      <c r="I83" s="66" t="s">
        <v>192</v>
      </c>
      <c r="J83" s="66"/>
      <c r="K83" s="66">
        <f t="shared" si="2"/>
        <v>0</v>
      </c>
      <c r="L83" s="68"/>
    </row>
    <row r="84" spans="1:12" s="3" customFormat="1" ht="24" x14ac:dyDescent="0.2">
      <c r="A84" s="20" t="s">
        <v>210</v>
      </c>
      <c r="B84" s="37" t="s">
        <v>207</v>
      </c>
      <c r="C84" s="38"/>
      <c r="D84" s="38"/>
      <c r="E84" s="38"/>
      <c r="F84" s="38"/>
      <c r="G84" s="38"/>
      <c r="H84" s="38"/>
      <c r="I84" s="38"/>
      <c r="J84" s="38"/>
      <c r="K84" s="25">
        <f>SUM(K2:K38)/SUM(E2:E39)</f>
        <v>0</v>
      </c>
      <c r="L84" s="22"/>
    </row>
    <row r="85" spans="1:12" s="3" customFormat="1" ht="24" x14ac:dyDescent="0.2">
      <c r="A85" s="20" t="s">
        <v>211</v>
      </c>
      <c r="B85" s="41" t="s">
        <v>208</v>
      </c>
      <c r="C85" s="42"/>
      <c r="D85" s="42"/>
      <c r="E85" s="42"/>
      <c r="F85" s="42"/>
      <c r="G85" s="42"/>
      <c r="H85" s="42"/>
      <c r="I85" s="42"/>
      <c r="J85" s="42"/>
      <c r="K85" s="26">
        <f>SUM(K2:K66)/SUM(E3:E66)</f>
        <v>0</v>
      </c>
      <c r="L85" s="23"/>
    </row>
    <row r="86" spans="1:12" s="3" customFormat="1" ht="25" thickBot="1" x14ac:dyDescent="0.25">
      <c r="A86" s="21" t="s">
        <v>212</v>
      </c>
      <c r="B86" s="39" t="s">
        <v>209</v>
      </c>
      <c r="C86" s="40"/>
      <c r="D86" s="40"/>
      <c r="E86" s="40"/>
      <c r="F86" s="40"/>
      <c r="G86" s="40"/>
      <c r="H86" s="40"/>
      <c r="I86" s="40"/>
      <c r="J86" s="40"/>
      <c r="K86" s="27">
        <f>SUM(K2:K83)/SUM(E2:E83)</f>
        <v>0</v>
      </c>
      <c r="L86" s="24"/>
    </row>
    <row r="87" spans="1:12" s="3" customFormat="1" x14ac:dyDescent="0.2">
      <c r="A87" s="2"/>
      <c r="C87" s="2"/>
      <c r="D87" s="2"/>
      <c r="E87" s="2"/>
      <c r="I87" s="2"/>
      <c r="J87" s="2"/>
      <c r="K87" s="2"/>
    </row>
    <row r="88" spans="1:12" s="3" customFormat="1" x14ac:dyDescent="0.2">
      <c r="A88" s="2"/>
      <c r="C88" s="2"/>
      <c r="D88" s="2"/>
      <c r="E88" s="2"/>
      <c r="I88" s="8"/>
      <c r="J88" s="2"/>
      <c r="K88" s="2"/>
    </row>
    <row r="89" spans="1:12" s="3" customFormat="1" x14ac:dyDescent="0.2">
      <c r="A89" s="2"/>
      <c r="C89" s="2"/>
      <c r="D89" s="2"/>
      <c r="E89" s="2"/>
      <c r="I89" s="2"/>
      <c r="J89" s="2"/>
      <c r="K89" s="2"/>
    </row>
    <row r="90" spans="1:12" s="3" customFormat="1" x14ac:dyDescent="0.2">
      <c r="A90" s="2"/>
      <c r="C90" s="2"/>
      <c r="D90" s="2"/>
      <c r="E90" s="2"/>
      <c r="I90" s="2"/>
      <c r="J90" s="2"/>
      <c r="K90" s="2"/>
    </row>
    <row r="91" spans="1:12" s="3" customFormat="1" x14ac:dyDescent="0.2">
      <c r="A91" s="2"/>
      <c r="C91" s="2"/>
      <c r="D91" s="2"/>
      <c r="E91" s="2"/>
      <c r="I91" s="2"/>
      <c r="J91" s="2"/>
      <c r="K91" s="2"/>
    </row>
    <row r="92" spans="1:12" s="3" customFormat="1" x14ac:dyDescent="0.2">
      <c r="A92" s="2"/>
      <c r="C92" s="2"/>
      <c r="D92" s="4"/>
      <c r="E92" s="4"/>
      <c r="F92" s="4"/>
      <c r="G92" s="4"/>
      <c r="H92" s="4"/>
      <c r="K92" s="7"/>
    </row>
    <row r="93" spans="1:12" s="3" customFormat="1" x14ac:dyDescent="0.2">
      <c r="A93" s="2"/>
      <c r="C93" s="2"/>
      <c r="D93" s="4"/>
      <c r="E93" s="4"/>
      <c r="F93" s="4"/>
      <c r="G93" s="4"/>
      <c r="H93" s="4"/>
      <c r="K93" s="7"/>
    </row>
    <row r="94" spans="1:12" s="3" customFormat="1" ht="16" thickBot="1" x14ac:dyDescent="0.25">
      <c r="A94" s="2"/>
      <c r="C94" s="2"/>
      <c r="D94" s="4"/>
      <c r="E94" s="4"/>
      <c r="F94" s="4"/>
      <c r="G94" s="4"/>
      <c r="H94" s="4"/>
      <c r="K94" s="7"/>
    </row>
    <row r="95" spans="1:12" s="3" customFormat="1" ht="31" x14ac:dyDescent="0.2">
      <c r="A95" s="43" t="s">
        <v>213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5"/>
    </row>
    <row r="96" spans="1:12" s="3" customFormat="1" x14ac:dyDescent="0.2">
      <c r="A96" s="28">
        <v>86</v>
      </c>
      <c r="B96" s="15" t="s">
        <v>149</v>
      </c>
      <c r="C96" s="14">
        <v>3</v>
      </c>
      <c r="D96" s="14">
        <v>3</v>
      </c>
      <c r="E96" s="14">
        <v>3</v>
      </c>
      <c r="F96" s="15" t="s">
        <v>43</v>
      </c>
      <c r="G96" s="15" t="s">
        <v>58</v>
      </c>
      <c r="H96" s="15" t="s">
        <v>150</v>
      </c>
      <c r="I96" s="14">
        <v>0</v>
      </c>
      <c r="J96" s="14">
        <v>0</v>
      </c>
      <c r="K96" s="14">
        <f>J96*E96</f>
        <v>0</v>
      </c>
      <c r="L96" s="29"/>
    </row>
    <row r="97" spans="1:12" s="3" customFormat="1" x14ac:dyDescent="0.2">
      <c r="A97" s="28">
        <v>98</v>
      </c>
      <c r="B97" s="15" t="s">
        <v>151</v>
      </c>
      <c r="C97" s="14">
        <v>3</v>
      </c>
      <c r="D97" s="14">
        <v>3</v>
      </c>
      <c r="E97" s="14">
        <v>4</v>
      </c>
      <c r="F97" s="15" t="s">
        <v>43</v>
      </c>
      <c r="G97" s="15" t="s">
        <v>58</v>
      </c>
      <c r="H97" s="15" t="s">
        <v>152</v>
      </c>
      <c r="I97" s="16" t="s">
        <v>186</v>
      </c>
      <c r="J97" s="14">
        <v>1</v>
      </c>
      <c r="K97" s="14">
        <f>J97*E97</f>
        <v>4</v>
      </c>
      <c r="L97" s="29"/>
    </row>
    <row r="98" spans="1:12" s="3" customFormat="1" x14ac:dyDescent="0.2">
      <c r="A98" s="28">
        <v>89</v>
      </c>
      <c r="B98" s="15" t="s">
        <v>109</v>
      </c>
      <c r="C98" s="14">
        <v>2</v>
      </c>
      <c r="D98" s="14">
        <v>3</v>
      </c>
      <c r="E98" s="14">
        <v>3</v>
      </c>
      <c r="F98" s="15" t="s">
        <v>43</v>
      </c>
      <c r="G98" s="15" t="s">
        <v>58</v>
      </c>
      <c r="H98" s="15" t="s">
        <v>110</v>
      </c>
      <c r="I98" s="14">
        <v>0</v>
      </c>
      <c r="J98" s="14">
        <v>1</v>
      </c>
      <c r="K98" s="14">
        <f>J98*E98</f>
        <v>3</v>
      </c>
      <c r="L98" s="29"/>
    </row>
    <row r="99" spans="1:12" s="3" customFormat="1" x14ac:dyDescent="0.2">
      <c r="A99" s="28">
        <v>91</v>
      </c>
      <c r="B99" s="15" t="s">
        <v>111</v>
      </c>
      <c r="C99" s="14">
        <v>2</v>
      </c>
      <c r="D99" s="14">
        <v>4</v>
      </c>
      <c r="E99" s="14">
        <v>3</v>
      </c>
      <c r="F99" s="15" t="s">
        <v>43</v>
      </c>
      <c r="G99" s="15" t="s">
        <v>58</v>
      </c>
      <c r="H99" s="15" t="s">
        <v>112</v>
      </c>
      <c r="I99" s="14">
        <v>0</v>
      </c>
      <c r="J99" s="14">
        <v>1</v>
      </c>
      <c r="K99" s="14">
        <f>J99*E99</f>
        <v>3</v>
      </c>
      <c r="L99" s="29"/>
    </row>
    <row r="100" spans="1:12" s="3" customFormat="1" ht="16" thickBot="1" x14ac:dyDescent="0.25">
      <c r="A100" s="30">
        <v>93</v>
      </c>
      <c r="B100" s="31" t="s">
        <v>113</v>
      </c>
      <c r="C100" s="32">
        <v>2</v>
      </c>
      <c r="D100" s="32">
        <v>3</v>
      </c>
      <c r="E100" s="32">
        <v>2</v>
      </c>
      <c r="F100" s="31" t="s">
        <v>43</v>
      </c>
      <c r="G100" s="31" t="s">
        <v>58</v>
      </c>
      <c r="H100" s="31" t="s">
        <v>114</v>
      </c>
      <c r="I100" s="32">
        <v>0</v>
      </c>
      <c r="J100" s="32">
        <v>0</v>
      </c>
      <c r="K100" s="32">
        <f>J100*E100</f>
        <v>0</v>
      </c>
      <c r="L100" s="33"/>
    </row>
    <row r="101" spans="1:12" s="3" customFormat="1" x14ac:dyDescent="0.2">
      <c r="A101" s="2"/>
      <c r="C101" s="2"/>
      <c r="D101" s="4"/>
      <c r="E101" s="4"/>
      <c r="F101" s="4"/>
      <c r="G101" s="4"/>
      <c r="H101" s="4"/>
      <c r="K101" s="7"/>
    </row>
    <row r="102" spans="1:12" s="3" customFormat="1" x14ac:dyDescent="0.2">
      <c r="A102" s="2"/>
      <c r="C102" s="2"/>
      <c r="D102" s="4"/>
      <c r="E102" s="4"/>
      <c r="F102" s="4"/>
      <c r="G102" s="4"/>
      <c r="H102" s="4"/>
      <c r="K102" s="7"/>
    </row>
    <row r="103" spans="1:12" s="3" customFormat="1" x14ac:dyDescent="0.2">
      <c r="A103" s="2"/>
      <c r="C103" s="2"/>
      <c r="D103" s="4"/>
      <c r="E103" s="4"/>
      <c r="F103" s="4"/>
      <c r="G103" s="4"/>
      <c r="H103" s="4"/>
      <c r="K103" s="7"/>
    </row>
    <row r="104" spans="1:12" s="3" customFormat="1" x14ac:dyDescent="0.2">
      <c r="A104" s="2"/>
      <c r="C104" s="2"/>
      <c r="D104" s="4"/>
      <c r="E104" s="4"/>
      <c r="F104" s="4"/>
      <c r="G104" s="4"/>
      <c r="H104" s="4"/>
      <c r="K104" s="7"/>
    </row>
    <row r="105" spans="1:12" s="3" customFormat="1" x14ac:dyDescent="0.2">
      <c r="A105" s="2"/>
      <c r="C105" s="2"/>
      <c r="D105" s="4"/>
      <c r="E105" s="4"/>
      <c r="F105" s="4"/>
      <c r="G105" s="4"/>
      <c r="H105" s="4"/>
      <c r="K105" s="7"/>
    </row>
    <row r="106" spans="1:12" s="3" customFormat="1" x14ac:dyDescent="0.2">
      <c r="A106" s="2"/>
      <c r="C106" s="2"/>
      <c r="D106" s="4"/>
      <c r="E106" s="4"/>
      <c r="F106" s="4"/>
      <c r="G106" s="4"/>
      <c r="H106" s="4"/>
      <c r="K106" s="7"/>
    </row>
    <row r="107" spans="1:12" s="3" customFormat="1" x14ac:dyDescent="0.2">
      <c r="A107" s="2"/>
      <c r="C107" s="2"/>
      <c r="D107" s="4"/>
      <c r="E107" s="4"/>
      <c r="F107" s="4"/>
      <c r="G107" s="4"/>
      <c r="H107" s="4"/>
      <c r="K107" s="7"/>
    </row>
    <row r="108" spans="1:12" s="3" customFormat="1" x14ac:dyDescent="0.2">
      <c r="A108" s="2"/>
      <c r="C108" s="2"/>
      <c r="D108" s="4"/>
      <c r="E108" s="4"/>
      <c r="F108" s="4"/>
      <c r="G108" s="4"/>
      <c r="H108" s="4"/>
      <c r="K108" s="7"/>
    </row>
    <row r="109" spans="1:12" s="3" customFormat="1" x14ac:dyDescent="0.2">
      <c r="A109" s="2"/>
      <c r="C109" s="2"/>
      <c r="D109" s="4"/>
      <c r="E109" s="4"/>
      <c r="F109" s="4"/>
      <c r="G109" s="4"/>
      <c r="H109" s="4"/>
      <c r="K109" s="7"/>
    </row>
    <row r="110" spans="1:12" s="3" customFormat="1" x14ac:dyDescent="0.2">
      <c r="A110" s="2"/>
      <c r="C110" s="2"/>
      <c r="D110" s="4"/>
      <c r="E110" s="4"/>
      <c r="F110" s="4"/>
      <c r="G110" s="4"/>
      <c r="H110" s="4"/>
      <c r="K110" s="7"/>
    </row>
    <row r="111" spans="1:12" s="3" customFormat="1" x14ac:dyDescent="0.2">
      <c r="A111" s="2"/>
      <c r="C111" s="2"/>
      <c r="D111" s="4"/>
      <c r="E111" s="4"/>
      <c r="F111" s="4"/>
      <c r="G111" s="4"/>
      <c r="H111" s="4"/>
      <c r="K111" s="7"/>
    </row>
    <row r="112" spans="1:12" s="3" customFormat="1" x14ac:dyDescent="0.2">
      <c r="A112" s="2"/>
      <c r="C112" s="2"/>
      <c r="D112" s="4"/>
      <c r="E112" s="4"/>
      <c r="F112" s="4"/>
      <c r="G112" s="4"/>
      <c r="H112" s="4"/>
      <c r="K112" s="7"/>
    </row>
    <row r="113" spans="1:12" s="3" customFormat="1" x14ac:dyDescent="0.2">
      <c r="A113" s="2"/>
      <c r="C113" s="2"/>
      <c r="D113" s="4"/>
      <c r="E113" s="4"/>
      <c r="F113" s="4"/>
      <c r="G113" s="4"/>
      <c r="H113" s="4"/>
      <c r="K113" s="7"/>
    </row>
    <row r="114" spans="1:12" s="3" customFormat="1" x14ac:dyDescent="0.2">
      <c r="A114" s="2"/>
      <c r="C114" s="2"/>
      <c r="D114" s="4"/>
      <c r="E114" s="4"/>
      <c r="F114" s="4"/>
      <c r="G114" s="4"/>
      <c r="H114" s="4"/>
      <c r="K114" s="7"/>
    </row>
    <row r="115" spans="1:12" x14ac:dyDescent="0.2">
      <c r="A115" s="2"/>
      <c r="B115" s="3"/>
      <c r="C115" s="2"/>
      <c r="D115" s="4"/>
      <c r="E115" s="4"/>
      <c r="F115" s="4"/>
      <c r="G115" s="4"/>
      <c r="H115" s="4"/>
      <c r="I115" s="3"/>
      <c r="J115" s="3"/>
      <c r="L115" s="3"/>
    </row>
    <row r="116" spans="1:12" x14ac:dyDescent="0.2">
      <c r="A116" s="2"/>
      <c r="B116" s="3"/>
      <c r="C116" s="2"/>
      <c r="D116" s="4"/>
      <c r="E116" s="4"/>
      <c r="F116" s="4"/>
      <c r="G116" s="4"/>
      <c r="H116" s="4"/>
      <c r="I116" s="3"/>
      <c r="J116" s="3"/>
      <c r="L116" s="3"/>
    </row>
    <row r="117" spans="1:12" x14ac:dyDescent="0.2">
      <c r="A117" s="2"/>
      <c r="B117" s="3"/>
      <c r="C117" s="2"/>
      <c r="D117" s="4"/>
      <c r="E117" s="4"/>
      <c r="F117" s="4"/>
      <c r="G117" s="4"/>
      <c r="H117" s="4"/>
      <c r="I117" s="3"/>
      <c r="J117" s="3"/>
      <c r="L117" s="3"/>
    </row>
    <row r="118" spans="1:12" s="3" customFormat="1" x14ac:dyDescent="0.2">
      <c r="A118" s="2"/>
      <c r="C118" s="2"/>
      <c r="D118" s="4"/>
      <c r="E118" s="4"/>
      <c r="F118" s="4"/>
      <c r="G118" s="4"/>
      <c r="H118" s="4"/>
      <c r="K118" s="7"/>
    </row>
    <row r="119" spans="1:12" x14ac:dyDescent="0.2">
      <c r="A119" s="2"/>
      <c r="B119" s="3"/>
      <c r="C119" s="2"/>
      <c r="D119" s="4"/>
      <c r="E119" s="4"/>
      <c r="F119" s="4"/>
      <c r="G119" s="4"/>
      <c r="H119" s="4"/>
      <c r="I119" s="3"/>
      <c r="J119" s="3"/>
      <c r="L119" s="3"/>
    </row>
    <row r="120" spans="1:12" x14ac:dyDescent="0.2">
      <c r="A120" s="2"/>
      <c r="D120" s="4"/>
      <c r="E120" s="4"/>
      <c r="F120" s="4"/>
      <c r="G120" s="4"/>
      <c r="H120"/>
      <c r="I120"/>
      <c r="J120" s="4"/>
      <c r="L120" s="3"/>
    </row>
    <row r="121" spans="1:12" x14ac:dyDescent="0.2">
      <c r="A121" s="2"/>
      <c r="B121" s="4"/>
      <c r="C121" s="2"/>
      <c r="D121" s="6"/>
      <c r="E121" s="6"/>
      <c r="F121" s="4"/>
      <c r="G121" s="4"/>
      <c r="H121" s="4"/>
      <c r="I121" s="3"/>
      <c r="J121" s="3"/>
      <c r="L121" s="3"/>
    </row>
    <row r="122" spans="1:12" x14ac:dyDescent="0.2">
      <c r="A122" s="2"/>
      <c r="B122" s="4"/>
      <c r="C122" s="2"/>
      <c r="D122" s="6"/>
      <c r="E122" s="6"/>
      <c r="F122" s="4"/>
      <c r="G122" s="4"/>
      <c r="H122" s="4"/>
      <c r="I122" s="8"/>
      <c r="J122" s="6"/>
      <c r="K122" s="6"/>
      <c r="L122" s="3"/>
    </row>
    <row r="123" spans="1:12" x14ac:dyDescent="0.2">
      <c r="A123" s="2"/>
      <c r="B123" s="4"/>
      <c r="C123" s="2"/>
      <c r="D123" s="6"/>
      <c r="E123" s="6"/>
      <c r="F123" s="4"/>
      <c r="G123" s="4"/>
      <c r="H123" s="4"/>
      <c r="J123" s="6"/>
      <c r="K123" s="6"/>
      <c r="L123" s="3"/>
    </row>
  </sheetData>
  <autoFilter ref="A1:L119" xr:uid="{00000000-0001-0000-0000-000000000000}">
    <sortState xmlns:xlrd2="http://schemas.microsoft.com/office/spreadsheetml/2017/richdata2" ref="A2:L121">
      <sortCondition ref="C1:C121"/>
    </sortState>
  </autoFilter>
  <sortState xmlns:xlrd2="http://schemas.microsoft.com/office/spreadsheetml/2017/richdata2" ref="A67:L83">
    <sortCondition descending="1" sortBy="cellColor" ref="F67:F83" dxfId="0"/>
  </sortState>
  <mergeCells count="4">
    <mergeCell ref="B84:J84"/>
    <mergeCell ref="B86:J86"/>
    <mergeCell ref="B85:J85"/>
    <mergeCell ref="A95:L95"/>
  </mergeCells>
  <phoneticPr fontId="6" type="noConversion"/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 de 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Quilici</dc:creator>
  <dc:description/>
  <cp:lastModifiedBy>Matheo Marcel Giacomo Godenzi</cp:lastModifiedBy>
  <cp:revision>4</cp:revision>
  <dcterms:created xsi:type="dcterms:W3CDTF">2023-04-03T12:08:20Z</dcterms:created>
  <dcterms:modified xsi:type="dcterms:W3CDTF">2023-11-22T19:34:55Z</dcterms:modified>
  <dc:language>en-US</dc:language>
</cp:coreProperties>
</file>